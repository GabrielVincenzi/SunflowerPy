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VOLA 8 (2)" sheetId="1" r:id="rId4"/>
    <sheet name="LEGENDA " sheetId="2" r:id="rId5"/>
    <sheet name="TAVOLA 1" sheetId="3" r:id="rId6"/>
    <sheet name="TAVOLA 2" sheetId="4" r:id="rId7"/>
    <sheet name="TAVOLA 3" sheetId="5" r:id="rId8"/>
    <sheet name="TAVOLA 4" sheetId="6" r:id="rId9"/>
    <sheet name="TAVOLA 5" sheetId="7" r:id="rId10"/>
    <sheet name="TAVOLA 6" sheetId="8" r:id="rId11"/>
    <sheet name="TAVOLA 7" sheetId="9" r:id="rId12"/>
    <sheet name="TAVOLA 8" sheetId="10" r:id="rId13"/>
  </sheets>
</workbook>
</file>

<file path=xl/sharedStrings.xml><?xml version="1.0" encoding="utf-8"?>
<sst xmlns="http://schemas.openxmlformats.org/spreadsheetml/2006/main" uniqueCount="90">
  <si>
    <t>Tavola 8. Principali aggregati economici per tipologia di attività illegale. Miliardi di euro, Anni 2011-2021</t>
  </si>
  <si>
    <t>Attività Illegali</t>
  </si>
  <si>
    <t>Valore Aggiunto</t>
  </si>
  <si>
    <t>Spesa per consumi finali delle famiglie</t>
  </si>
  <si>
    <t>Droga</t>
  </si>
  <si>
    <t>Prostituzione</t>
  </si>
  <si>
    <t>Contrabbando di sigarette</t>
  </si>
  <si>
    <t>Totale illegale</t>
  </si>
  <si>
    <t>di cui indotto</t>
  </si>
  <si>
    <t>Incidenza con indotto (%)</t>
  </si>
  <si>
    <t>Incidenza al netto dell'indotto (%)</t>
  </si>
  <si>
    <r>
      <rPr>
        <sz val="12"/>
        <color indexed="8"/>
        <rFont val="Arial Narrow"/>
      </rPr>
      <t>Tavola 1</t>
    </r>
  </si>
  <si>
    <t>Economia sommersa e attività illegali, Valori correnti (milioni di euro) ed incidenza percentuale delle componenti sul Pil. Anni 2011-2023</t>
  </si>
  <si>
    <r>
      <rPr>
        <sz val="12"/>
        <color indexed="8"/>
        <rFont val="Arial Narrow"/>
      </rPr>
      <t>Tavola 2</t>
    </r>
  </si>
  <si>
    <t>Composizione delle componenti dell'economia sommersa e attività illegali, Valori percentuali delle componenti. Anni 2011-2023</t>
  </si>
  <si>
    <r>
      <rPr>
        <sz val="12"/>
        <color indexed="8"/>
        <rFont val="Arial Narrow"/>
      </rPr>
      <t>Tavola 3</t>
    </r>
  </si>
  <si>
    <t>Incidenza delle componeneti dell'economia sommersa sul valore aggiunto totale e per attività economica.  Valori percentuali, Anni 2011-2023</t>
  </si>
  <si>
    <r>
      <rPr>
        <sz val="12"/>
        <color indexed="8"/>
        <rFont val="Arial Narrow"/>
      </rPr>
      <t>Tavola 4</t>
    </r>
  </si>
  <si>
    <t>Distribuzione per attività economica del valore aggiunto totale e del valore aggiuno generato dall'economia sommersa. Valori percentuali,  Anni 2011-2023</t>
  </si>
  <si>
    <r>
      <rPr>
        <sz val="12"/>
        <color indexed="8"/>
        <rFont val="Arial Narrow"/>
      </rPr>
      <t>Tavola 5</t>
    </r>
  </si>
  <si>
    <t>Contributi alla variazione del valore aggiunto per attività economica. Valori percentuali,  Anni 2011-2023</t>
  </si>
  <si>
    <r>
      <rPr>
        <sz val="12"/>
        <color indexed="8"/>
        <rFont val="Arial Narrow"/>
      </rPr>
      <t>Tavola 6</t>
    </r>
  </si>
  <si>
    <t>Unità di lavoro a tempo pieno (ULA)  non regolari per attività economica e posizione nella professione. Valori assoluti in migliaia,  Anni 2011-2023</t>
  </si>
  <si>
    <r>
      <rPr>
        <sz val="12"/>
        <color indexed="8"/>
        <rFont val="Arial Narrow"/>
      </rPr>
      <t>Tavola 7</t>
    </r>
  </si>
  <si>
    <t xml:space="preserve">Tasso di irregolarità delle unità di lavoro a tempo pieno (ULA)  per attività economica e posizione nella professione. Valori percentuali,  Anni 2011-2023 </t>
  </si>
  <si>
    <r>
      <rPr>
        <sz val="12"/>
        <color indexed="8"/>
        <rFont val="Arial Narrow"/>
      </rPr>
      <t>Tavola 8</t>
    </r>
  </si>
  <si>
    <t>Principali aggregati economici per tipologia di attività illegale. Miliardi di euro, Anni 2012-2023</t>
  </si>
  <si>
    <t>Tavola 1 - Economia sommersa e attività illegali, Valori correnti (milioni di euro) ed incidenza percentuale delle componenti sul Pil. Anni 2011-2023</t>
  </si>
  <si>
    <t xml:space="preserve">componenti </t>
  </si>
  <si>
    <t>Milioni di euro correnti</t>
  </si>
  <si>
    <t>Incidenza  % sul PIL</t>
  </si>
  <si>
    <t xml:space="preserve">Economia sommersa </t>
  </si>
  <si>
    <t xml:space="preserve"> - da Sottodichiarazione</t>
  </si>
  <si>
    <t xml:space="preserve"> - da Lavoro irregolare</t>
  </si>
  <si>
    <t xml:space="preserve"> - Altro</t>
  </si>
  <si>
    <t xml:space="preserve">Attività illegali </t>
  </si>
  <si>
    <t>Economia non osservata</t>
  </si>
  <si>
    <t>Valore aggiunto</t>
  </si>
  <si>
    <t>PIL</t>
  </si>
  <si>
    <t>Tavola 2 - Composizione delle componenti dell'economia sommersa e attività illegali, Valori percentuali delle componenti. Anni 2011-2023</t>
  </si>
  <si>
    <t>Sottodichiarazione</t>
  </si>
  <si>
    <t>Lavoro irregolare</t>
  </si>
  <si>
    <t>Altro</t>
  </si>
  <si>
    <t>Attività illegali</t>
  </si>
  <si>
    <t xml:space="preserve">Tavola 3 -  Incidenza delle componeneti dell'economia sommersa sul valore aggiunto totale e per attività economica.  Valori percentuali, Anni 2011-2023
</t>
  </si>
  <si>
    <t xml:space="preserve">Totale Economia sommersa </t>
  </si>
  <si>
    <t>Agricoltura, silvicoltura e pesca</t>
  </si>
  <si>
    <t>Produz. beni alimentari e di consumo</t>
  </si>
  <si>
    <t>Produz. beni di investim.</t>
  </si>
  <si>
    <t>Produz. beni intermedi, energia e rifiuti</t>
  </si>
  <si>
    <t>Costruzioni</t>
  </si>
  <si>
    <t>Commercio all'ingrosso e al dettaglio, trasporti e magazzinaggio, attività di alloggio e ristorazione</t>
  </si>
  <si>
    <t>Servizi professionali</t>
  </si>
  <si>
    <t>Altri servizi alle imprese</t>
  </si>
  <si>
    <t>Servizi generali delle A.A.P.P.</t>
  </si>
  <si>
    <t>Istruzione, sanità e assistenza sociale</t>
  </si>
  <si>
    <t>Altri servizi alle persone</t>
  </si>
  <si>
    <t xml:space="preserve">Totale </t>
  </si>
  <si>
    <t>Tavola 4 - Distribuzione per attività economica del valore aggiunto totale e del valore aggiuno generato dall'economia sommersa. Valori percentuali,  Anni 2011-2023</t>
  </si>
  <si>
    <t xml:space="preserve">valore aggiunto totale </t>
  </si>
  <si>
    <t>valore aggiunto generato dall'economia sommersa</t>
  </si>
  <si>
    <t>Tavola 5 -Contributi alla variazione del valore aggiunto per attività economica. Valori percentuali,  Anni 2011-2023</t>
  </si>
  <si>
    <t>2012 su 2011</t>
  </si>
  <si>
    <t>2013 su 2012</t>
  </si>
  <si>
    <t>2014 su 2013</t>
  </si>
  <si>
    <t>2015 su 2014</t>
  </si>
  <si>
    <t>2016 su 2015</t>
  </si>
  <si>
    <t>2017 su 2016</t>
  </si>
  <si>
    <t>2018 su 2017</t>
  </si>
  <si>
    <t>2019 su 2018</t>
  </si>
  <si>
    <t>2020 su 2019</t>
  </si>
  <si>
    <t>2021 su 2020</t>
  </si>
  <si>
    <t>2022 su 2021</t>
  </si>
  <si>
    <t>2023 su 2022</t>
  </si>
  <si>
    <t>Economia regolare</t>
  </si>
  <si>
    <t xml:space="preserve">variazione valore aggiunto </t>
  </si>
  <si>
    <t>Totale</t>
  </si>
  <si>
    <t>Tavola 6 -Unità di lavoro a tempo pieno (ULA) non regolari per attività economica e posizione nella professione. Valori assoluti in migliaia,  Anni 2011-2023</t>
  </si>
  <si>
    <t>DIPENDENTI</t>
  </si>
  <si>
    <t>Industria</t>
  </si>
  <si>
    <t>Industria in senso stretto</t>
  </si>
  <si>
    <t>Servizi</t>
  </si>
  <si>
    <t>Totale dipendenti</t>
  </si>
  <si>
    <t>INDIPENDENTI</t>
  </si>
  <si>
    <t>Totale indipendenti</t>
  </si>
  <si>
    <t>TOTALE DIPENDENTI E INDIPENDENTI</t>
  </si>
  <si>
    <t>TOTALE</t>
  </si>
  <si>
    <t>Tavola 7 - Tasso di irregolarità delle unità di lavoro a tempo pieno (ULA)  per attività economica e posizione nella professione. Valori percentuali,  Anni 2011-2023</t>
  </si>
  <si>
    <t>-</t>
  </si>
  <si>
    <t>Tavola 8. Principali aggregati economici per tipologia di attività illegale. Miliardi di euro, Anni 2011-2022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</si>
</sst>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.0"/>
    <numFmt numFmtId="60" formatCode="0.0"/>
    <numFmt numFmtId="61" formatCode="&quot; &quot;* #,##0&quot; &quot;;&quot;-&quot;* #,##0&quot; &quot;;&quot; &quot;* &quot;-&quot;??&quot; &quot;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 Narrow"/>
    </font>
    <font>
      <sz val="10"/>
      <color indexed="8"/>
      <name val="Arial"/>
    </font>
    <font>
      <b val="1"/>
      <sz val="10"/>
      <color indexed="8"/>
      <name val="Arial Narrow"/>
    </font>
    <font>
      <b val="1"/>
      <sz val="9"/>
      <color indexed="8"/>
      <name val="Arial Narrow"/>
    </font>
    <font>
      <sz val="10"/>
      <color indexed="8"/>
      <name val="Arial Narrow"/>
    </font>
    <font>
      <i val="1"/>
      <sz val="10"/>
      <color indexed="8"/>
      <name val="Arial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0"/>
      </left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4" fillId="2" borderId="7" applyNumberFormat="0" applyFont="1" applyFill="1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5" fillId="2" borderId="10" applyNumberFormat="1" applyFont="1" applyFill="1" applyBorder="1" applyAlignment="1" applyProtection="0">
      <alignment horizontal="left" vertical="center"/>
    </xf>
    <xf numFmtId="1" fontId="6" fillId="2" borderId="11" applyNumberFormat="1" applyFont="1" applyFill="1" applyBorder="1" applyAlignment="1" applyProtection="0">
      <alignment horizontal="center" vertical="bottom"/>
    </xf>
    <xf numFmtId="1" fontId="6" fillId="2" borderId="12" applyNumberFormat="1" applyFont="1" applyFill="1" applyBorder="1" applyAlignment="1" applyProtection="0">
      <alignment horizontal="center" vertical="bottom"/>
    </xf>
    <xf numFmtId="1" fontId="6" fillId="2" borderId="13" applyNumberFormat="1" applyFont="1" applyFill="1" applyBorder="1" applyAlignment="1" applyProtection="0">
      <alignment horizontal="center" vertical="bottom"/>
    </xf>
    <xf numFmtId="0" fontId="5" fillId="2" borderId="14" applyNumberFormat="0" applyFont="1" applyFill="1" applyBorder="1" applyAlignment="1" applyProtection="0">
      <alignment horizontal="left" vertical="center"/>
    </xf>
    <xf numFmtId="49" fontId="7" fillId="2" borderId="11" applyNumberFormat="1" applyFont="1" applyFill="1" applyBorder="1" applyAlignment="1" applyProtection="0">
      <alignment horizontal="center" vertical="center" wrapText="1"/>
    </xf>
    <xf numFmtId="49" fontId="7" fillId="2" borderId="12" applyNumberFormat="1" applyFont="1" applyFill="1" applyBorder="1" applyAlignment="1" applyProtection="0">
      <alignment horizontal="center" vertical="center" wrapText="1"/>
    </xf>
    <xf numFmtId="49" fontId="7" fillId="2" borderId="10" applyNumberFormat="1" applyFont="1" applyFill="1" applyBorder="1" applyAlignment="1" applyProtection="0">
      <alignment vertical="center"/>
    </xf>
    <xf numFmtId="59" fontId="7" fillId="2" borderId="15" applyNumberFormat="1" applyFont="1" applyFill="1" applyBorder="1" applyAlignment="1" applyProtection="0">
      <alignment vertical="center"/>
    </xf>
    <xf numFmtId="59" fontId="7" fillId="2" borderId="16" applyNumberFormat="1" applyFont="1" applyFill="1" applyBorder="1" applyAlignment="1" applyProtection="0">
      <alignment vertical="center"/>
    </xf>
    <xf numFmtId="49" fontId="7" fillId="2" borderId="17" applyNumberFormat="1" applyFont="1" applyFill="1" applyBorder="1" applyAlignment="1" applyProtection="0">
      <alignment vertical="center"/>
    </xf>
    <xf numFmtId="59" fontId="7" fillId="2" borderId="18" applyNumberFormat="1" applyFont="1" applyFill="1" applyBorder="1" applyAlignment="1" applyProtection="0">
      <alignment vertical="center"/>
    </xf>
    <xf numFmtId="59" fontId="7" fillId="2" borderId="19" applyNumberFormat="1" applyFont="1" applyFill="1" applyBorder="1" applyAlignment="1" applyProtection="0">
      <alignment vertical="center"/>
    </xf>
    <xf numFmtId="49" fontId="8" fillId="2" borderId="17" applyNumberFormat="1" applyFont="1" applyFill="1" applyBorder="1" applyAlignment="1" applyProtection="0">
      <alignment vertical="center"/>
    </xf>
    <xf numFmtId="59" fontId="8" fillId="2" borderId="18" applyNumberFormat="1" applyFont="1" applyFill="1" applyBorder="1" applyAlignment="1" applyProtection="0">
      <alignment vertical="center"/>
    </xf>
    <xf numFmtId="59" fontId="8" fillId="2" borderId="19" applyNumberFormat="1" applyFont="1" applyFill="1" applyBorder="1" applyAlignment="1" applyProtection="0">
      <alignment vertical="center"/>
    </xf>
    <xf numFmtId="49" fontId="5" fillId="2" borderId="17" applyNumberFormat="1" applyFont="1" applyFill="1" applyBorder="1" applyAlignment="1" applyProtection="0">
      <alignment vertical="center"/>
    </xf>
    <xf numFmtId="59" fontId="5" fillId="2" borderId="18" applyNumberFormat="1" applyFont="1" applyFill="1" applyBorder="1" applyAlignment="1" applyProtection="0">
      <alignment vertical="center"/>
    </xf>
    <xf numFmtId="59" fontId="5" fillId="2" borderId="19" applyNumberFormat="1" applyFont="1" applyFill="1" applyBorder="1" applyAlignment="1" applyProtection="0">
      <alignment vertical="center"/>
    </xf>
    <xf numFmtId="49" fontId="5" fillId="2" borderId="14" applyNumberFormat="1" applyFont="1" applyFill="1" applyBorder="1" applyAlignment="1" applyProtection="0">
      <alignment vertical="center"/>
    </xf>
    <xf numFmtId="59" fontId="5" fillId="2" borderId="20" applyNumberFormat="1" applyFont="1" applyFill="1" applyBorder="1" applyAlignment="1" applyProtection="0">
      <alignment horizontal="right" vertical="bottom"/>
    </xf>
    <xf numFmtId="59" fontId="5" fillId="2" borderId="21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49" fontId="0" fillId="2" borderId="22" applyNumberFormat="1" applyFont="1" applyFill="1" applyBorder="1" applyAlignment="1" applyProtection="0">
      <alignment vertical="bottom"/>
    </xf>
    <xf numFmtId="49" fontId="3" fillId="2" borderId="22" applyNumberFormat="1" applyFont="1" applyFill="1" applyBorder="1" applyAlignment="1" applyProtection="0">
      <alignment horizontal="left" vertical="bottom"/>
    </xf>
    <xf numFmtId="0" fontId="7" fillId="2" borderId="2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5" applyNumberFormat="0" applyFont="1" applyFill="1" applyBorder="1" applyAlignment="1" applyProtection="0">
      <alignment vertical="bottom"/>
    </xf>
    <xf numFmtId="0" fontId="3" fillId="2" borderId="7" applyNumberFormat="0" applyFont="1" applyFill="1" applyBorder="1" applyAlignment="1" applyProtection="0">
      <alignment vertical="bottom"/>
    </xf>
    <xf numFmtId="0" fontId="3" fillId="2" borderId="8" applyNumberFormat="0" applyFont="1" applyFill="1" applyBorder="1" applyAlignment="1" applyProtection="0">
      <alignment vertical="bottom"/>
    </xf>
    <xf numFmtId="49" fontId="5" fillId="2" borderId="23" applyNumberFormat="1" applyFont="1" applyFill="1" applyBorder="1" applyAlignment="1" applyProtection="0">
      <alignment horizontal="left" vertical="center"/>
    </xf>
    <xf numFmtId="0" fontId="5" fillId="2" borderId="24" applyNumberFormat="1" applyFont="1" applyFill="1" applyBorder="1" applyAlignment="1" applyProtection="0">
      <alignment horizontal="center" vertical="center" wrapText="1"/>
    </xf>
    <xf numFmtId="0" fontId="5" fillId="2" borderId="24" applyNumberFormat="0" applyFont="1" applyFill="1" applyBorder="1" applyAlignment="1" applyProtection="0">
      <alignment horizontal="center" vertical="center" wrapText="1"/>
    </xf>
    <xf numFmtId="0" fontId="5" fillId="2" borderId="12" applyNumberFormat="0" applyFont="1" applyFill="1" applyBorder="1" applyAlignment="1" applyProtection="0">
      <alignment horizontal="center" vertical="center" wrapText="1"/>
    </xf>
    <xf numFmtId="0" fontId="5" fillId="2" borderId="4" applyNumberFormat="0" applyFont="1" applyFill="1" applyBorder="1" applyAlignment="1" applyProtection="0">
      <alignment horizontal="left" vertical="center"/>
    </xf>
    <xf numFmtId="49" fontId="7" fillId="2" borderId="25" applyNumberFormat="1" applyFont="1" applyFill="1" applyBorder="1" applyAlignment="1" applyProtection="0">
      <alignment horizontal="center" vertical="center" wrapText="1"/>
    </xf>
    <xf numFmtId="49" fontId="7" fillId="2" borderId="26" applyNumberFormat="1" applyFont="1" applyFill="1" applyBorder="1" applyAlignment="1" applyProtection="0">
      <alignment horizontal="center" vertical="center" wrapText="1"/>
    </xf>
    <xf numFmtId="0" fontId="5" fillId="2" borderId="7" applyNumberFormat="0" applyFont="1" applyFill="1" applyBorder="1" applyAlignment="1" applyProtection="0">
      <alignment horizontal="left" vertical="center"/>
    </xf>
    <xf numFmtId="0" fontId="7" fillId="2" borderId="8" applyNumberFormat="0" applyFont="1" applyFill="1" applyBorder="1" applyAlignment="1" applyProtection="0">
      <alignment horizontal="center" vertical="center" wrapText="1"/>
    </xf>
    <xf numFmtId="0" fontId="7" fillId="2" borderId="9" applyNumberFormat="0" applyFont="1" applyFill="1" applyBorder="1" applyAlignment="1" applyProtection="0">
      <alignment horizontal="center" vertical="center" wrapText="1"/>
    </xf>
    <xf numFmtId="49" fontId="0" fillId="2" borderId="10" applyNumberFormat="1" applyFont="1" applyFill="1" applyBorder="1" applyAlignment="1" applyProtection="0">
      <alignment vertical="center"/>
    </xf>
    <xf numFmtId="3" fontId="0" fillId="2" borderId="15" applyNumberFormat="1" applyFont="1" applyFill="1" applyBorder="1" applyAlignment="1" applyProtection="0">
      <alignment vertical="center"/>
    </xf>
    <xf numFmtId="60" fontId="0" fillId="2" borderId="16" applyNumberFormat="1" applyFont="1" applyFill="1" applyBorder="1" applyAlignment="1" applyProtection="0">
      <alignment vertical="center"/>
    </xf>
    <xf numFmtId="3" fontId="8" fillId="2" borderId="18" applyNumberFormat="1" applyFont="1" applyFill="1" applyBorder="1" applyAlignment="1" applyProtection="0">
      <alignment vertical="center"/>
    </xf>
    <xf numFmtId="60" fontId="8" fillId="2" borderId="19" applyNumberFormat="1" applyFont="1" applyFill="1" applyBorder="1" applyAlignment="1" applyProtection="0">
      <alignment vertical="center"/>
    </xf>
    <xf numFmtId="49" fontId="8" fillId="2" borderId="17" applyNumberFormat="1" applyFont="1" applyFill="1" applyBorder="1" applyAlignment="1" applyProtection="0">
      <alignment vertical="top" wrapText="1"/>
    </xf>
    <xf numFmtId="3" fontId="8" fillId="2" borderId="18" applyNumberFormat="1" applyFont="1" applyFill="1" applyBorder="1" applyAlignment="1" applyProtection="0">
      <alignment vertical="bottom"/>
    </xf>
    <xf numFmtId="3" fontId="8" fillId="2" borderId="19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top" wrapText="1"/>
    </xf>
    <xf numFmtId="3" fontId="0" fillId="2" borderId="18" applyNumberFormat="1" applyFont="1" applyFill="1" applyBorder="1" applyAlignment="1" applyProtection="0">
      <alignment vertical="bottom"/>
    </xf>
    <xf numFmtId="60" fontId="0" fillId="2" borderId="19" applyNumberFormat="1" applyFont="1" applyFill="1" applyBorder="1" applyAlignment="1" applyProtection="0">
      <alignment vertical="bottom"/>
    </xf>
    <xf numFmtId="49" fontId="5" fillId="2" borderId="17" applyNumberFormat="1" applyFont="1" applyFill="1" applyBorder="1" applyAlignment="1" applyProtection="0">
      <alignment vertical="top" wrapText="1"/>
    </xf>
    <xf numFmtId="3" fontId="5" fillId="2" borderId="18" applyNumberFormat="1" applyFont="1" applyFill="1" applyBorder="1" applyAlignment="1" applyProtection="0">
      <alignment vertical="bottom"/>
    </xf>
    <xf numFmtId="60" fontId="5" fillId="2" borderId="19" applyNumberFormat="1" applyFont="1" applyFill="1" applyBorder="1" applyAlignment="1" applyProtection="0">
      <alignment vertical="bottom"/>
    </xf>
    <xf numFmtId="49" fontId="5" fillId="2" borderId="14" applyNumberFormat="1" applyFont="1" applyFill="1" applyBorder="1" applyAlignment="1" applyProtection="0">
      <alignment vertical="top" wrapText="1"/>
    </xf>
    <xf numFmtId="3" fontId="5" fillId="2" borderId="20" applyNumberFormat="1" applyFont="1" applyFill="1" applyBorder="1" applyAlignment="1" applyProtection="0">
      <alignment horizontal="right" vertical="bottom"/>
    </xf>
    <xf numFmtId="60" fontId="5" fillId="2" borderId="21" applyNumberFormat="1" applyFont="1" applyFill="1" applyBorder="1" applyAlignment="1" applyProtection="0">
      <alignment horizontal="right" vertical="bottom"/>
    </xf>
    <xf numFmtId="0" fontId="0" fillId="2" borderId="27" applyNumberFormat="0" applyFont="1" applyFill="1" applyBorder="1" applyAlignment="1" applyProtection="0">
      <alignment vertical="bottom"/>
    </xf>
    <xf numFmtId="61" fontId="0" fillId="2" borderId="28" applyNumberFormat="1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49" fontId="5" fillId="2" borderId="30" applyNumberFormat="1" applyFont="1" applyFill="1" applyBorder="1" applyAlignment="1" applyProtection="0">
      <alignment vertical="center"/>
    </xf>
    <xf numFmtId="49" fontId="0" fillId="2" borderId="23" applyNumberFormat="1" applyFont="1" applyFill="1" applyBorder="1" applyAlignment="1" applyProtection="0">
      <alignment vertical="center"/>
    </xf>
    <xf numFmtId="59" fontId="7" fillId="2" borderId="25" applyNumberFormat="1" applyFont="1" applyFill="1" applyBorder="1" applyAlignment="1" applyProtection="0">
      <alignment horizontal="center" vertical="center"/>
    </xf>
    <xf numFmtId="59" fontId="0" fillId="2" borderId="6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center"/>
    </xf>
    <xf numFmtId="59" fontId="7" fillId="2" borderId="5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59" fontId="5" fillId="2" borderId="8" applyNumberFormat="1" applyFont="1" applyFill="1" applyBorder="1" applyAlignment="1" applyProtection="0">
      <alignment horizontal="center" vertical="bottom"/>
    </xf>
    <xf numFmtId="0" fontId="0" fillId="2" borderId="3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top"/>
    </xf>
    <xf numFmtId="49" fontId="3" fillId="2" borderId="4" applyNumberFormat="1" applyFont="1" applyFill="1" applyBorder="1" applyAlignment="1" applyProtection="0">
      <alignment horizontal="left" vertical="top" wrapText="1"/>
    </xf>
    <xf numFmtId="0" fontId="0" fillId="2" borderId="7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0" fillId="2" borderId="33" applyNumberFormat="0" applyFont="1" applyFill="1" applyBorder="1" applyAlignment="1" applyProtection="0">
      <alignment vertical="bottom"/>
    </xf>
    <xf numFmtId="49" fontId="5" fillId="2" borderId="34" applyNumberFormat="1" applyFont="1" applyFill="1" applyBorder="1" applyAlignment="1" applyProtection="0">
      <alignment horizontal="left" vertical="center"/>
    </xf>
    <xf numFmtId="0" fontId="5" fillId="2" borderId="35" applyNumberFormat="1" applyFont="1" applyFill="1" applyBorder="1" applyAlignment="1" applyProtection="0">
      <alignment horizontal="center" vertical="center" wrapText="1"/>
    </xf>
    <xf numFmtId="0" fontId="5" fillId="2" borderId="36" applyNumberFormat="0" applyFont="1" applyFill="1" applyBorder="1" applyAlignment="1" applyProtection="0">
      <alignment horizontal="center" vertical="center" wrapText="1"/>
    </xf>
    <xf numFmtId="0" fontId="5" fillId="2" borderId="37" applyNumberFormat="0" applyFont="1" applyFill="1" applyBorder="1" applyAlignment="1" applyProtection="0">
      <alignment horizontal="center" vertical="center" wrapText="1"/>
    </xf>
    <xf numFmtId="0" fontId="5" fillId="2" borderId="38" applyNumberFormat="0" applyFont="1" applyFill="1" applyBorder="1" applyAlignment="1" applyProtection="0">
      <alignment horizontal="left" vertical="center"/>
    </xf>
    <xf numFmtId="49" fontId="7" fillId="2" borderId="39" applyNumberFormat="1" applyFont="1" applyFill="1" applyBorder="1" applyAlignment="1" applyProtection="0">
      <alignment horizontal="center" vertical="center" wrapText="1"/>
    </xf>
    <xf numFmtId="49" fontId="7" fillId="2" borderId="24" applyNumberFormat="1" applyFont="1" applyFill="1" applyBorder="1" applyAlignment="1" applyProtection="0">
      <alignment horizontal="center" vertical="center" wrapText="1"/>
    </xf>
    <xf numFmtId="49" fontId="7" fillId="2" borderId="40" applyNumberFormat="1" applyFont="1" applyFill="1" applyBorder="1" applyAlignment="1" applyProtection="0">
      <alignment horizontal="center" vertical="center" wrapText="1"/>
    </xf>
    <xf numFmtId="49" fontId="0" fillId="2" borderId="34" applyNumberFormat="1" applyFont="1" applyFill="1" applyBorder="1" applyAlignment="1" applyProtection="0">
      <alignment vertical="center"/>
    </xf>
    <xf numFmtId="59" fontId="7" fillId="2" borderId="41" applyNumberFormat="1" applyFont="1" applyFill="1" applyBorder="1" applyAlignment="1" applyProtection="0">
      <alignment horizontal="center" vertical="center"/>
    </xf>
    <xf numFmtId="59" fontId="7" fillId="2" borderId="42" applyNumberFormat="1" applyFont="1" applyFill="1" applyBorder="1" applyAlignment="1" applyProtection="0">
      <alignment horizontal="center" vertical="center"/>
    </xf>
    <xf numFmtId="49" fontId="0" fillId="2" borderId="43" applyNumberFormat="1" applyFont="1" applyFill="1" applyBorder="1" applyAlignment="1" applyProtection="0">
      <alignment vertical="center"/>
    </xf>
    <xf numFmtId="59" fontId="7" fillId="2" borderId="44" applyNumberFormat="1" applyFont="1" applyFill="1" applyBorder="1" applyAlignment="1" applyProtection="0">
      <alignment horizontal="center" vertical="center"/>
    </xf>
    <xf numFmtId="59" fontId="7" fillId="2" borderId="45" applyNumberFormat="1" applyFont="1" applyFill="1" applyBorder="1" applyAlignment="1" applyProtection="0">
      <alignment horizontal="center" vertical="center"/>
    </xf>
    <xf numFmtId="49" fontId="0" fillId="2" borderId="43" applyNumberFormat="1" applyFont="1" applyFill="1" applyBorder="1" applyAlignment="1" applyProtection="0">
      <alignment vertical="top" wrapText="1"/>
    </xf>
    <xf numFmtId="49" fontId="5" fillId="2" borderId="38" applyNumberFormat="1" applyFont="1" applyFill="1" applyBorder="1" applyAlignment="1" applyProtection="0">
      <alignment vertical="top" wrapText="1"/>
    </xf>
    <xf numFmtId="59" fontId="5" fillId="2" borderId="46" applyNumberFormat="1" applyFont="1" applyFill="1" applyBorder="1" applyAlignment="1" applyProtection="0">
      <alignment horizontal="center" vertical="bottom"/>
    </xf>
    <xf numFmtId="59" fontId="5" fillId="2" borderId="32" applyNumberFormat="1" applyFont="1" applyFill="1" applyBorder="1" applyAlignment="1" applyProtection="0">
      <alignment horizontal="center" vertical="bottom"/>
    </xf>
    <xf numFmtId="59" fontId="5" fillId="2" borderId="47" applyNumberFormat="1" applyFont="1" applyFill="1" applyBorder="1" applyAlignment="1" applyProtection="0">
      <alignment horizontal="center" vertical="bottom"/>
    </xf>
    <xf numFmtId="61" fontId="0" fillId="2" borderId="48" applyNumberFormat="1" applyFont="1" applyFill="1" applyBorder="1" applyAlignment="1" applyProtection="0">
      <alignment vertical="bottom"/>
    </xf>
    <xf numFmtId="0" fontId="0" fillId="2" borderId="48" applyNumberFormat="0" applyFont="1" applyFill="1" applyBorder="1" applyAlignment="1" applyProtection="0">
      <alignment vertical="bottom"/>
    </xf>
    <xf numFmtId="0" fontId="0" fillId="2" borderId="4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5" fillId="2" borderId="11" applyNumberFormat="1" applyFont="1" applyFill="1" applyBorder="1" applyAlignment="1" applyProtection="0">
      <alignment horizontal="center" vertical="center" wrapText="1"/>
    </xf>
    <xf numFmtId="0" fontId="5" fillId="2" borderId="17" applyNumberFormat="0" applyFont="1" applyFill="1" applyBorder="1" applyAlignment="1" applyProtection="0">
      <alignment horizontal="left" vertical="center"/>
    </xf>
    <xf numFmtId="49" fontId="7" fillId="2" borderId="15" applyNumberFormat="1" applyFont="1" applyFill="1" applyBorder="1" applyAlignment="1" applyProtection="0">
      <alignment horizontal="center" vertical="center" wrapText="1"/>
    </xf>
    <xf numFmtId="49" fontId="7" fillId="2" borderId="16" applyNumberFormat="1" applyFont="1" applyFill="1" applyBorder="1" applyAlignment="1" applyProtection="0">
      <alignment horizontal="center" vertical="center" wrapText="1"/>
    </xf>
    <xf numFmtId="0" fontId="7" fillId="2" borderId="20" applyNumberFormat="0" applyFont="1" applyFill="1" applyBorder="1" applyAlignment="1" applyProtection="0">
      <alignment horizontal="center" vertical="center" wrapText="1"/>
    </xf>
    <xf numFmtId="0" fontId="7" fillId="2" borderId="21" applyNumberFormat="0" applyFont="1" applyFill="1" applyBorder="1" applyAlignment="1" applyProtection="0">
      <alignment horizontal="center" vertical="center" wrapText="1"/>
    </xf>
    <xf numFmtId="59" fontId="7" fillId="2" borderId="15" applyNumberFormat="1" applyFont="1" applyFill="1" applyBorder="1" applyAlignment="1" applyProtection="0">
      <alignment horizontal="center" vertical="center"/>
    </xf>
    <xf numFmtId="59" fontId="7" fillId="2" borderId="16" applyNumberFormat="1" applyFont="1" applyFill="1" applyBorder="1" applyAlignment="1" applyProtection="0">
      <alignment horizontal="center" vertical="center"/>
    </xf>
    <xf numFmtId="49" fontId="0" fillId="2" borderId="17" applyNumberFormat="1" applyFont="1" applyFill="1" applyBorder="1" applyAlignment="1" applyProtection="0">
      <alignment vertical="center"/>
    </xf>
    <xf numFmtId="59" fontId="7" fillId="2" borderId="18" applyNumberFormat="1" applyFont="1" applyFill="1" applyBorder="1" applyAlignment="1" applyProtection="0">
      <alignment horizontal="center" vertical="center"/>
    </xf>
    <xf numFmtId="59" fontId="7" fillId="2" borderId="19" applyNumberFormat="1" applyFont="1" applyFill="1" applyBorder="1" applyAlignment="1" applyProtection="0">
      <alignment horizontal="center" vertical="center"/>
    </xf>
    <xf numFmtId="59" fontId="7" fillId="2" borderId="18" applyNumberFormat="1" applyFont="1" applyFill="1" applyBorder="1" applyAlignment="1" applyProtection="0">
      <alignment horizontal="center" vertical="bottom"/>
    </xf>
    <xf numFmtId="59" fontId="7" fillId="2" borderId="19" applyNumberFormat="1" applyFont="1" applyFill="1" applyBorder="1" applyAlignment="1" applyProtection="0">
      <alignment horizontal="center" vertical="bottom"/>
    </xf>
    <xf numFmtId="49" fontId="0" fillId="2" borderId="14" applyNumberFormat="1" applyFont="1" applyFill="1" applyBorder="1" applyAlignment="1" applyProtection="0">
      <alignment vertical="top" wrapText="1"/>
    </xf>
    <xf numFmtId="59" fontId="7" fillId="2" borderId="20" applyNumberFormat="1" applyFont="1" applyFill="1" applyBorder="1" applyAlignment="1" applyProtection="0">
      <alignment horizontal="center" vertical="bottom"/>
    </xf>
    <xf numFmtId="59" fontId="7" fillId="2" borderId="21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5" fillId="2" borderId="24" applyNumberFormat="1" applyFont="1" applyFill="1" applyBorder="1" applyAlignment="1" applyProtection="0">
      <alignment horizontal="center" vertical="bottom"/>
    </xf>
    <xf numFmtId="0" fontId="5" fillId="2" borderId="24" applyNumberFormat="0" applyFont="1" applyFill="1" applyBorder="1" applyAlignment="1" applyProtection="0">
      <alignment horizontal="center" vertical="bottom"/>
    </xf>
    <xf numFmtId="0" fontId="5" fillId="2" borderId="50" applyNumberFormat="0" applyFont="1" applyFill="1" applyBorder="1" applyAlignment="1" applyProtection="0">
      <alignment horizontal="center" vertical="bottom"/>
    </xf>
    <xf numFmtId="49" fontId="7" fillId="2" borderId="50" applyNumberFormat="1" applyFont="1" applyFill="1" applyBorder="1" applyAlignment="1" applyProtection="0">
      <alignment horizontal="center" vertical="center" wrapText="1"/>
    </xf>
    <xf numFmtId="59" fontId="7" fillId="2" borderId="5" applyNumberFormat="1" applyFont="1" applyFill="1" applyBorder="1" applyAlignment="1" applyProtection="0">
      <alignment horizontal="center" vertical="bottom"/>
    </xf>
    <xf numFmtId="49" fontId="0" fillId="2" borderId="14" applyNumberFormat="1" applyFont="1" applyFill="1" applyBorder="1" applyAlignment="1" applyProtection="0">
      <alignment vertical="center"/>
    </xf>
    <xf numFmtId="59" fontId="5" fillId="2" borderId="20" applyNumberFormat="1" applyFont="1" applyFill="1" applyBorder="1" applyAlignment="1" applyProtection="0">
      <alignment horizontal="center" vertical="bottom"/>
    </xf>
    <xf numFmtId="59" fontId="5" fillId="2" borderId="21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5" fillId="2" borderId="23" applyNumberFormat="0" applyFont="1" applyFill="1" applyBorder="1" applyAlignment="1" applyProtection="0">
      <alignment vertical="bottom"/>
    </xf>
    <xf numFmtId="0" fontId="0" fillId="2" borderId="24" applyNumberFormat="1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vertical="bottom"/>
    </xf>
    <xf numFmtId="0" fontId="5" fillId="2" borderId="4" applyNumberFormat="0" applyFont="1" applyFill="1" applyBorder="1" applyAlignment="1" applyProtection="0">
      <alignment vertical="bottom"/>
    </xf>
    <xf numFmtId="49" fontId="7" fillId="2" borderId="25" applyNumberFormat="1" applyFont="1" applyFill="1" applyBorder="1" applyAlignment="1" applyProtection="0">
      <alignment horizontal="center" vertical="bottom"/>
    </xf>
    <xf numFmtId="0" fontId="7" fillId="2" borderId="25" applyNumberFormat="0" applyFont="1" applyFill="1" applyBorder="1" applyAlignment="1" applyProtection="0">
      <alignment horizontal="center" vertical="bottom"/>
    </xf>
    <xf numFmtId="0" fontId="0" fillId="2" borderId="25" applyNumberFormat="0" applyFont="1" applyFill="1" applyBorder="1" applyAlignment="1" applyProtection="0">
      <alignment vertical="bottom"/>
    </xf>
    <xf numFmtId="60" fontId="0" fillId="2" borderId="5" applyNumberFormat="1" applyFont="1" applyFill="1" applyBorder="1" applyAlignment="1" applyProtection="0">
      <alignment vertical="bottom"/>
    </xf>
    <xf numFmtId="60" fontId="7" fillId="2" borderId="5" applyNumberFormat="1" applyFont="1" applyFill="1" applyBorder="1" applyAlignment="1" applyProtection="0">
      <alignment vertical="bottom"/>
    </xf>
    <xf numFmtId="0" fontId="7" fillId="2" borderId="5" applyNumberFormat="0" applyFont="1" applyFill="1" applyBorder="1" applyAlignment="1" applyProtection="0">
      <alignment vertical="bottom"/>
    </xf>
    <xf numFmtId="60" fontId="7" fillId="2" borderId="5" applyNumberFormat="1" applyFont="1" applyFill="1" applyBorder="1" applyAlignment="1" applyProtection="0">
      <alignment horizontal="right" vertical="bottom"/>
    </xf>
    <xf numFmtId="49" fontId="5" fillId="2" borderId="4" applyNumberFormat="1" applyFont="1" applyFill="1" applyBorder="1" applyAlignment="1" applyProtection="0">
      <alignment vertical="bottom"/>
    </xf>
    <xf numFmtId="60" fontId="5" fillId="2" borderId="5" applyNumberFormat="1" applyFont="1" applyFill="1" applyBorder="1" applyAlignment="1" applyProtection="0">
      <alignment vertical="bottom"/>
    </xf>
    <xf numFmtId="0" fontId="5" fillId="2" borderId="6" applyNumberFormat="0" applyFont="1" applyFill="1" applyBorder="1" applyAlignment="1" applyProtection="0">
      <alignment vertical="bottom"/>
    </xf>
    <xf numFmtId="49" fontId="7" fillId="2" borderId="5" applyNumberFormat="1" applyFont="1" applyFill="1" applyBorder="1" applyAlignment="1" applyProtection="0">
      <alignment horizontal="center" vertical="bottom"/>
    </xf>
    <xf numFmtId="60" fontId="7" fillId="2" borderId="5" applyNumberFormat="1" applyFont="1" applyFill="1" applyBorder="1" applyAlignment="1" applyProtection="0">
      <alignment horizontal="center" vertical="bottom"/>
    </xf>
    <xf numFmtId="49" fontId="5" fillId="2" borderId="4" applyNumberFormat="1" applyFont="1" applyFill="1" applyBorder="1" applyAlignment="1" applyProtection="0">
      <alignment vertical="center"/>
    </xf>
    <xf numFmtId="49" fontId="5" fillId="2" borderId="7" applyNumberFormat="1" applyFont="1" applyFill="1" applyBorder="1" applyAlignment="1" applyProtection="0">
      <alignment vertical="bottom"/>
    </xf>
    <xf numFmtId="60" fontId="5" fillId="2" borderId="8" applyNumberFormat="1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60" fontId="0" fillId="2" borderId="25" applyNumberFormat="1" applyFont="1" applyFill="1" applyBorder="1" applyAlignment="1" applyProtection="0">
      <alignment vertical="bottom"/>
    </xf>
    <xf numFmtId="0" fontId="0" fillId="2" borderId="51" applyNumberFormat="0" applyFont="1" applyFill="1" applyBorder="1" applyAlignment="1" applyProtection="0">
      <alignment vertical="bottom"/>
    </xf>
    <xf numFmtId="0" fontId="0" fillId="2" borderId="52" applyNumberFormat="0" applyFont="1" applyFill="1" applyBorder="1" applyAlignment="1" applyProtection="0">
      <alignment vertical="bottom"/>
    </xf>
    <xf numFmtId="60" fontId="0" fillId="2" borderId="5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fillId="2" borderId="24" applyNumberFormat="1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horizontal="center" vertical="bottom"/>
    </xf>
    <xf numFmtId="49" fontId="7" fillId="2" borderId="4" applyNumberFormat="1" applyFont="1" applyFill="1" applyBorder="1" applyAlignment="1" applyProtection="0">
      <alignment vertical="center"/>
    </xf>
    <xf numFmtId="60" fontId="0" fillId="2" borderId="6" applyNumberFormat="1" applyFont="1" applyFill="1" applyBorder="1" applyAlignment="1" applyProtection="0">
      <alignment vertical="bottom"/>
    </xf>
    <xf numFmtId="49" fontId="7" fillId="2" borderId="5" applyNumberFormat="1" applyFont="1" applyFill="1" applyBorder="1" applyAlignment="1" applyProtection="0">
      <alignment horizontal="right" vertical="bottom"/>
    </xf>
    <xf numFmtId="0" fontId="7" fillId="2" borderId="4" applyNumberFormat="0" applyFont="1" applyFill="1" applyBorder="1" applyAlignment="1" applyProtection="0">
      <alignment vertical="bottom"/>
    </xf>
    <xf numFmtId="0" fontId="7" fillId="2" borderId="4" applyNumberFormat="0" applyFont="1" applyFill="1" applyBorder="1" applyAlignment="1" applyProtection="0">
      <alignment vertical="center"/>
    </xf>
    <xf numFmtId="0" fontId="5" fillId="2" borderId="4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A12"/>
  <sheetViews>
    <sheetView workbookViewId="0" showGridLines="0" defaultGridColor="1"/>
  </sheetViews>
  <sheetFormatPr defaultColWidth="9.16667" defaultRowHeight="15" customHeight="1" outlineLevelRow="0" outlineLevelCol="0"/>
  <cols>
    <col min="1" max="1" width="37.8516" style="1" customWidth="1"/>
    <col min="2" max="27" width="9.17188" style="1" customWidth="1"/>
    <col min="28" max="16384" width="9.17188" style="1" customWidth="1"/>
  </cols>
  <sheetData>
    <row r="1" ht="13.5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75" customHeight="1">
      <c r="A2" t="s" s="5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 ht="13.6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0"/>
      <c r="T3" s="10"/>
      <c r="U3" s="10"/>
      <c r="V3" s="10"/>
      <c r="W3" s="10"/>
      <c r="X3" s="10"/>
      <c r="Y3" s="10"/>
      <c r="Z3" s="10"/>
      <c r="AA3" s="11"/>
    </row>
    <row r="4" ht="13" customHeight="1">
      <c r="A4" t="s" s="12">
        <v>1</v>
      </c>
      <c r="B4" s="13">
        <v>2011</v>
      </c>
      <c r="C4" s="14"/>
      <c r="D4" s="13">
        <v>2012</v>
      </c>
      <c r="E4" s="14"/>
      <c r="F4" s="15">
        <v>2013</v>
      </c>
      <c r="G4" s="15"/>
      <c r="H4" s="15">
        <v>2014</v>
      </c>
      <c r="I4" s="15"/>
      <c r="J4" s="15">
        <v>2015</v>
      </c>
      <c r="K4" s="15"/>
      <c r="L4" s="15">
        <v>2016</v>
      </c>
      <c r="M4" s="15"/>
      <c r="N4" s="15">
        <v>2017</v>
      </c>
      <c r="O4" s="15"/>
      <c r="P4" s="15">
        <v>2018</v>
      </c>
      <c r="Q4" s="15"/>
      <c r="R4" s="15">
        <v>2019</v>
      </c>
      <c r="S4" s="15"/>
      <c r="T4" s="15">
        <v>2020</v>
      </c>
      <c r="U4" s="15"/>
      <c r="V4" s="15">
        <v>2021</v>
      </c>
      <c r="W4" s="15"/>
      <c r="X4" s="15">
        <v>2022</v>
      </c>
      <c r="Y4" s="15"/>
      <c r="Z4" s="15">
        <v>2023</v>
      </c>
      <c r="AA4" s="15"/>
    </row>
    <row r="5" ht="51" customHeight="1">
      <c r="A5" s="16"/>
      <c r="B5" t="s" s="17">
        <v>2</v>
      </c>
      <c r="C5" t="s" s="18">
        <v>3</v>
      </c>
      <c r="D5" t="s" s="17">
        <v>2</v>
      </c>
      <c r="E5" t="s" s="18">
        <v>3</v>
      </c>
      <c r="F5" t="s" s="17">
        <v>2</v>
      </c>
      <c r="G5" t="s" s="18">
        <v>3</v>
      </c>
      <c r="H5" t="s" s="17">
        <v>2</v>
      </c>
      <c r="I5" t="s" s="18">
        <v>3</v>
      </c>
      <c r="J5" t="s" s="17">
        <v>2</v>
      </c>
      <c r="K5" t="s" s="18">
        <v>3</v>
      </c>
      <c r="L5" t="s" s="17">
        <v>2</v>
      </c>
      <c r="M5" t="s" s="18">
        <v>3</v>
      </c>
      <c r="N5" t="s" s="17">
        <v>2</v>
      </c>
      <c r="O5" t="s" s="18">
        <v>3</v>
      </c>
      <c r="P5" t="s" s="17">
        <v>2</v>
      </c>
      <c r="Q5" t="s" s="18">
        <v>3</v>
      </c>
      <c r="R5" t="s" s="17">
        <v>2</v>
      </c>
      <c r="S5" t="s" s="18">
        <v>3</v>
      </c>
      <c r="T5" t="s" s="17">
        <v>2</v>
      </c>
      <c r="U5" t="s" s="18">
        <v>3</v>
      </c>
      <c r="V5" t="s" s="17">
        <v>2</v>
      </c>
      <c r="W5" t="s" s="18">
        <v>3</v>
      </c>
      <c r="X5" t="s" s="17">
        <v>2</v>
      </c>
      <c r="Y5" t="s" s="18">
        <v>3</v>
      </c>
      <c r="Z5" t="s" s="17">
        <v>2</v>
      </c>
      <c r="AA5" t="s" s="18">
        <v>3</v>
      </c>
    </row>
    <row r="6" ht="14" customHeight="1">
      <c r="A6" t="s" s="19">
        <v>4</v>
      </c>
      <c r="B6" s="20">
        <v>12.1041393761122</v>
      </c>
      <c r="C6" s="21">
        <v>13.23249</v>
      </c>
      <c r="D6" s="20">
        <v>13.2085254085477</v>
      </c>
      <c r="E6" s="21">
        <v>14.469590002</v>
      </c>
      <c r="F6" s="20">
        <v>13.4516804597609</v>
      </c>
      <c r="G6" s="21">
        <v>14.79174</v>
      </c>
      <c r="H6" s="20">
        <v>12.1621221572296</v>
      </c>
      <c r="I6" s="21">
        <v>13.34684</v>
      </c>
      <c r="J6" s="20">
        <v>12.8358760861353</v>
      </c>
      <c r="K6" s="21">
        <v>14.03689</v>
      </c>
      <c r="L6" s="20">
        <v>13.6574040495232</v>
      </c>
      <c r="M6" s="21">
        <v>14.96847</v>
      </c>
      <c r="N6" s="20">
        <v>14.3191922303584</v>
      </c>
      <c r="O6" s="21">
        <v>15.81369</v>
      </c>
      <c r="P6" s="20">
        <v>14.8100788647303</v>
      </c>
      <c r="Q6" s="21">
        <v>16.345497896</v>
      </c>
      <c r="R6" s="20">
        <v>15.0453170665184</v>
      </c>
      <c r="S6" s="21">
        <v>16.804344701</v>
      </c>
      <c r="T6" s="20">
        <v>13.5532906143306</v>
      </c>
      <c r="U6" s="21">
        <v>15.07983</v>
      </c>
      <c r="V6" s="20">
        <v>14.0851780944412</v>
      </c>
      <c r="W6" s="21">
        <v>15.926174115</v>
      </c>
      <c r="X6" s="20">
        <v>15.0917639535464</v>
      </c>
      <c r="Y6" s="21">
        <v>17.239638</v>
      </c>
      <c r="Z6" s="20">
        <v>15.3446473956083</v>
      </c>
      <c r="AA6" s="21">
        <v>17.161158689</v>
      </c>
    </row>
    <row r="7" ht="14" customHeight="1">
      <c r="A7" t="s" s="22">
        <v>5</v>
      </c>
      <c r="B7" s="23">
        <v>3.71718839071816</v>
      </c>
      <c r="C7" s="24">
        <v>4.35999</v>
      </c>
      <c r="D7" s="23">
        <v>3.79417896194921</v>
      </c>
      <c r="E7" s="24">
        <v>4.450290002</v>
      </c>
      <c r="F7" s="23">
        <v>3.88373593217989</v>
      </c>
      <c r="G7" s="24">
        <v>4.55533</v>
      </c>
      <c r="H7" s="23">
        <v>3.94997206101153</v>
      </c>
      <c r="I7" s="24">
        <v>4.633030002</v>
      </c>
      <c r="J7" s="23">
        <v>3.96986040455036</v>
      </c>
      <c r="K7" s="24">
        <v>4.65635</v>
      </c>
      <c r="L7" s="23">
        <v>3.987873</v>
      </c>
      <c r="M7" s="24">
        <v>4.67748</v>
      </c>
      <c r="N7" s="23">
        <v>4.01414055943346</v>
      </c>
      <c r="O7" s="24">
        <v>4.70829</v>
      </c>
      <c r="P7" s="23">
        <v>4.07013290510351</v>
      </c>
      <c r="Q7" s="24">
        <v>4.758392767</v>
      </c>
      <c r="R7" s="23">
        <v>4.07763437081638</v>
      </c>
      <c r="S7" s="24">
        <v>4.765</v>
      </c>
      <c r="T7" s="23">
        <v>3.43993331373776</v>
      </c>
      <c r="U7" s="24">
        <v>4.063</v>
      </c>
      <c r="V7" s="23">
        <v>3.8435253046875</v>
      </c>
      <c r="W7" s="24">
        <v>4.523596875</v>
      </c>
      <c r="X7" s="23">
        <v>4.00996884839166</v>
      </c>
      <c r="Y7" s="24">
        <v>4.705</v>
      </c>
      <c r="Z7" s="23">
        <v>4.12362937919933</v>
      </c>
      <c r="AA7" s="24">
        <v>4.840128948</v>
      </c>
    </row>
    <row r="8" ht="14" customHeight="1">
      <c r="A8" t="s" s="22">
        <v>6</v>
      </c>
      <c r="B8" s="23">
        <v>0.284</v>
      </c>
      <c r="C8" s="24">
        <v>0.386</v>
      </c>
      <c r="D8" s="23">
        <v>0.343546555232491</v>
      </c>
      <c r="E8" s="24">
        <v>0.475856024814507</v>
      </c>
      <c r="F8" s="23">
        <v>0.314222496055846</v>
      </c>
      <c r="G8" s="24">
        <v>0.428021044821553</v>
      </c>
      <c r="H8" s="23">
        <v>0.351594305046823</v>
      </c>
      <c r="I8" s="24">
        <v>0.469024456623586</v>
      </c>
      <c r="J8" s="23">
        <v>0.427541428765076</v>
      </c>
      <c r="K8" s="24">
        <v>0.58908513995568</v>
      </c>
      <c r="L8" s="23">
        <v>0.432227026414306</v>
      </c>
      <c r="M8" s="24">
        <v>0.5959274620766249</v>
      </c>
      <c r="N8" s="23">
        <v>0.466563237170949</v>
      </c>
      <c r="O8" s="24">
        <v>0.651774956825678</v>
      </c>
      <c r="P8" s="23">
        <v>0.487242013038044</v>
      </c>
      <c r="Q8" s="24">
        <v>0.6422990050419169</v>
      </c>
      <c r="R8" s="23">
        <v>0.486942369111636</v>
      </c>
      <c r="S8" s="24">
        <v>0.656272666659898</v>
      </c>
      <c r="T8" s="23">
        <v>0.56221471263593</v>
      </c>
      <c r="U8" s="24">
        <v>0.744401043923773</v>
      </c>
      <c r="V8" s="23">
        <v>0.602421069645814</v>
      </c>
      <c r="W8" s="24">
        <v>0.787747307549659</v>
      </c>
      <c r="X8" s="23">
        <v>0.672417151516389</v>
      </c>
      <c r="Y8" s="24">
        <v>0.816100044015298</v>
      </c>
      <c r="Z8" s="23">
        <v>0.503407967714146</v>
      </c>
      <c r="AA8" s="24">
        <v>0.688215656440519</v>
      </c>
    </row>
    <row r="9" ht="14" customHeight="1">
      <c r="A9" t="s" s="22">
        <v>7</v>
      </c>
      <c r="B9" s="23">
        <v>16.1053277668304</v>
      </c>
      <c r="C9" s="24">
        <v>17.97848</v>
      </c>
      <c r="D9" s="23">
        <v>17.3462509257294</v>
      </c>
      <c r="E9" s="24">
        <v>19.3957360288145</v>
      </c>
      <c r="F9" s="23">
        <v>17.6496388879966</v>
      </c>
      <c r="G9" s="24">
        <v>19.7750910448216</v>
      </c>
      <c r="H9" s="23">
        <v>16.4636885232879</v>
      </c>
      <c r="I9" s="24">
        <v>18.4488944586236</v>
      </c>
      <c r="J9" s="23">
        <v>17.2332779194507</v>
      </c>
      <c r="K9" s="24">
        <v>19.2823251399557</v>
      </c>
      <c r="L9" s="23">
        <v>18.0775040759375</v>
      </c>
      <c r="M9" s="24">
        <v>20.2418774620766</v>
      </c>
      <c r="N9" s="23">
        <v>18.7998960269628</v>
      </c>
      <c r="O9" s="24">
        <v>21.1737549568257</v>
      </c>
      <c r="P9" s="23">
        <v>19.3674537828718</v>
      </c>
      <c r="Q9" s="24">
        <v>21.7461896680419</v>
      </c>
      <c r="R9" s="23">
        <v>19.6098938064464</v>
      </c>
      <c r="S9" s="24">
        <v>22.2256173676599</v>
      </c>
      <c r="T9" s="23">
        <v>17.5554386407042</v>
      </c>
      <c r="U9" s="24">
        <v>19.8872310439238</v>
      </c>
      <c r="V9" s="23">
        <v>18.5311244687745</v>
      </c>
      <c r="W9" s="24">
        <v>21.2375182975497</v>
      </c>
      <c r="X9" s="23">
        <v>19.7741499534545</v>
      </c>
      <c r="Y9" s="24">
        <v>22.7607380440153</v>
      </c>
      <c r="Z9" s="23">
        <v>19.9716847425217</v>
      </c>
      <c r="AA9" s="24">
        <v>22.6895032934405</v>
      </c>
    </row>
    <row r="10" ht="14" customHeight="1">
      <c r="A10" t="s" s="25">
        <v>8</v>
      </c>
      <c r="B10" s="26">
        <v>1.16076452046072</v>
      </c>
      <c r="C10" s="27">
        <v>0</v>
      </c>
      <c r="D10" s="26">
        <v>1.22491255597949</v>
      </c>
      <c r="E10" s="27">
        <v>0</v>
      </c>
      <c r="F10" s="26">
        <v>1.2857009112342</v>
      </c>
      <c r="G10" s="27">
        <v>0</v>
      </c>
      <c r="H10" s="26">
        <v>1.10627073399172</v>
      </c>
      <c r="I10" s="27">
        <v>0</v>
      </c>
      <c r="J10" s="26">
        <v>1.14024573543901</v>
      </c>
      <c r="K10" s="27">
        <v>0</v>
      </c>
      <c r="L10" s="26">
        <v>1.22003400872075</v>
      </c>
      <c r="M10" s="27">
        <v>0</v>
      </c>
      <c r="N10" s="26">
        <v>1.27194988310931</v>
      </c>
      <c r="O10" s="27">
        <v>0</v>
      </c>
      <c r="P10" s="26">
        <v>1.35205668400485</v>
      </c>
      <c r="Q10" s="27">
        <v>0</v>
      </c>
      <c r="R10" s="26">
        <v>1.43473567002979</v>
      </c>
      <c r="S10" s="27">
        <v>0</v>
      </c>
      <c r="T10" s="26">
        <v>1.27453157809333</v>
      </c>
      <c r="U10" s="27">
        <v>0</v>
      </c>
      <c r="V10" s="26">
        <v>1.43054130909335</v>
      </c>
      <c r="W10" s="27">
        <v>0</v>
      </c>
      <c r="X10" s="26">
        <v>1.56458031712861</v>
      </c>
      <c r="Y10" s="27">
        <v>0</v>
      </c>
      <c r="Z10" s="26">
        <v>1.39954697878291</v>
      </c>
      <c r="AA10" s="27">
        <v>0</v>
      </c>
    </row>
    <row r="11" ht="14" customHeight="1">
      <c r="A11" t="s" s="28">
        <v>9</v>
      </c>
      <c r="B11" s="29">
        <v>1.11411322486224</v>
      </c>
      <c r="C11" s="30">
        <v>1.77429181680904</v>
      </c>
      <c r="D11" s="29">
        <v>1.19319275876946</v>
      </c>
      <c r="E11" s="30">
        <v>1.9336854546974</v>
      </c>
      <c r="F11" s="29">
        <v>1.19278196628126</v>
      </c>
      <c r="G11" s="30">
        <v>1.99627518107666</v>
      </c>
      <c r="H11" s="29">
        <v>1.08640469348957</v>
      </c>
      <c r="I11" s="30">
        <v>1.85535687631786</v>
      </c>
      <c r="J11" s="29">
        <v>1.11038875669462</v>
      </c>
      <c r="K11" s="30">
        <v>1.89239260087862</v>
      </c>
      <c r="L11" s="29">
        <v>1.19289703804194</v>
      </c>
      <c r="M11" s="30">
        <v>1.96073352236428</v>
      </c>
      <c r="N11" s="29">
        <v>1.2113303849064</v>
      </c>
      <c r="O11" s="30">
        <v>1.99909708256317</v>
      </c>
      <c r="P11" s="29">
        <v>1.22388777975211</v>
      </c>
      <c r="Q11" s="30">
        <v>2.01351624544198</v>
      </c>
      <c r="R11" s="29">
        <v>1.22235635218256</v>
      </c>
      <c r="S11" s="30">
        <v>2.03825858240562</v>
      </c>
      <c r="T11" s="29">
        <v>1.17323943736333</v>
      </c>
      <c r="U11" s="30">
        <v>2.05484532112504</v>
      </c>
      <c r="V11" s="29">
        <v>1.12718610767961</v>
      </c>
      <c r="W11" s="30">
        <v>2.0409285309756</v>
      </c>
      <c r="X11" s="29">
        <v>1.10247977195526</v>
      </c>
      <c r="Y11" s="30">
        <v>1.93321203619157</v>
      </c>
      <c r="Z11" s="29">
        <v>1.0375991587335</v>
      </c>
      <c r="AA11" s="30">
        <v>1.81417852564224</v>
      </c>
    </row>
    <row r="12" ht="14" customHeight="1">
      <c r="A12" t="s" s="31">
        <v>10</v>
      </c>
      <c r="B12" s="32">
        <v>1.03381538045204</v>
      </c>
      <c r="C12" s="33">
        <v>1.77429181680904</v>
      </c>
      <c r="D12" s="32">
        <v>1.10893496737821</v>
      </c>
      <c r="E12" s="33">
        <v>1.9336854546974</v>
      </c>
      <c r="F12" s="32">
        <v>1.10589288766139</v>
      </c>
      <c r="G12" s="33">
        <v>1.99627518107666</v>
      </c>
      <c r="H12" s="32">
        <v>1.01340417990607</v>
      </c>
      <c r="I12" s="33">
        <v>1.85535687631786</v>
      </c>
      <c r="J12" s="32">
        <v>1.03691950433193</v>
      </c>
      <c r="K12" s="33">
        <v>1.89239260087862</v>
      </c>
      <c r="L12" s="32">
        <v>1.11238952167243</v>
      </c>
      <c r="M12" s="33">
        <v>1.96073352236428</v>
      </c>
      <c r="N12" s="32">
        <v>1.12937506242597</v>
      </c>
      <c r="O12" s="33">
        <v>1.99909708256317</v>
      </c>
      <c r="P12" s="32">
        <v>1.13844724267185</v>
      </c>
      <c r="Q12" s="33">
        <v>2.01351624544198</v>
      </c>
      <c r="R12" s="32">
        <v>1.13292403412547</v>
      </c>
      <c r="S12" s="33">
        <v>2.03825858240562</v>
      </c>
      <c r="T12" s="32">
        <v>1.08806180425555</v>
      </c>
      <c r="U12" s="33">
        <v>2.05484532112504</v>
      </c>
      <c r="V12" s="32">
        <v>1.04017108099902</v>
      </c>
      <c r="W12" s="33">
        <v>2.0409285309756</v>
      </c>
      <c r="X12" s="32">
        <v>1.01524880853616</v>
      </c>
      <c r="Y12" s="33">
        <v>1.93321203619157</v>
      </c>
      <c r="Z12" s="32">
        <v>0.964887778270872</v>
      </c>
      <c r="AA12" s="33">
        <v>1.81417852564224</v>
      </c>
    </row>
  </sheetData>
  <mergeCells count="14">
    <mergeCell ref="J4:K4"/>
    <mergeCell ref="A4:A5"/>
    <mergeCell ref="B4:C4"/>
    <mergeCell ref="D4:E4"/>
    <mergeCell ref="F4:G4"/>
    <mergeCell ref="H4:I4"/>
    <mergeCell ref="X4:Y4"/>
    <mergeCell ref="Z4:AA4"/>
    <mergeCell ref="L4:M4"/>
    <mergeCell ref="N4:O4"/>
    <mergeCell ref="P4:Q4"/>
    <mergeCell ref="R4:S4"/>
    <mergeCell ref="T4:U4"/>
    <mergeCell ref="V4:W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N15"/>
  <sheetViews>
    <sheetView workbookViewId="0" showGridLines="0" defaultGridColor="1"/>
  </sheetViews>
  <sheetFormatPr defaultColWidth="8.66667" defaultRowHeight="15.75" customHeight="1" outlineLevelRow="0" outlineLevelCol="0"/>
  <cols>
    <col min="1" max="1" width="11.5" style="34" customWidth="1"/>
    <col min="2" max="2" width="9.5" style="34" customWidth="1"/>
    <col min="3" max="14" width="8.67188" style="34" customWidth="1"/>
    <col min="15" max="16384" width="8.67188" style="34" customWidth="1"/>
  </cols>
  <sheetData>
    <row r="1" ht="13.5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ht="17" customHeight="1">
      <c r="A2" t="s" s="36">
        <v>11</v>
      </c>
      <c r="B2" t="s" s="37">
        <v>12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ht="17" customHeight="1">
      <c r="A3" t="s" s="36">
        <v>13</v>
      </c>
      <c r="B3" t="s" s="36">
        <v>14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ht="17" customHeight="1">
      <c r="A4" t="s" s="36">
        <v>15</v>
      </c>
      <c r="B4" t="s" s="36">
        <v>16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ht="17" customHeight="1">
      <c r="A5" t="s" s="36">
        <v>17</v>
      </c>
      <c r="B5" t="s" s="36">
        <v>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ht="17" customHeight="1">
      <c r="A6" t="s" s="36">
        <v>19</v>
      </c>
      <c r="B6" t="s" s="36">
        <v>20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ht="17" customHeight="1">
      <c r="A7" t="s" s="36">
        <v>21</v>
      </c>
      <c r="B7" t="s" s="37">
        <v>22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ht="17" customHeight="1">
      <c r="A8" t="s" s="36">
        <v>23</v>
      </c>
      <c r="B8" t="s" s="37">
        <v>24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ht="17" customHeight="1">
      <c r="A9" t="s" s="36">
        <v>25</v>
      </c>
      <c r="B9" t="s" s="36">
        <v>26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ht="13.5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ht="13.5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ht="13.5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ht="13.5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ht="13.5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ht="14" customHeight="1">
      <c r="A15" s="35"/>
      <c r="B15" s="38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</sheetData>
  <hyperlinks>
    <hyperlink ref="A2" location="'TAVOLA 1'!R1C1" tooltip="" display="Tavola 1"/>
    <hyperlink ref="A4" location="'TAVOLA 3'!R1C1" tooltip="" display="Tavola 3"/>
    <hyperlink ref="A6" location="'TAVOLA 5'!R1C1" tooltip="" display="Tavola 5"/>
    <hyperlink ref="A7" location="'TAVOLA 6'!R1C1" tooltip="" display="Tavola 6"/>
    <hyperlink ref="A8" location="'TAVOLA 7'!R1C1" tooltip="" display="Tavola 7"/>
    <hyperlink ref="A9" location="'TAVOLA 8'!R1C1" tooltip="" display="Tavola 8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A15"/>
  <sheetViews>
    <sheetView workbookViewId="0" showGridLines="0" defaultGridColor="1"/>
  </sheetViews>
  <sheetFormatPr defaultColWidth="8.83333" defaultRowHeight="12.75" customHeight="1" outlineLevelRow="0" outlineLevelCol="0"/>
  <cols>
    <col min="1" max="1" width="19.5" style="39" customWidth="1"/>
    <col min="2" max="13" width="9.67188" style="39" customWidth="1"/>
    <col min="14" max="17" width="10.1719" style="39" customWidth="1"/>
    <col min="18" max="27" width="10.3516" style="39" customWidth="1"/>
    <col min="28" max="16384" width="8.85156" style="39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75" customHeight="1">
      <c r="A2" t="s" s="5">
        <v>27</v>
      </c>
      <c r="B2" s="40"/>
      <c r="C2" s="40"/>
      <c r="D2" s="40"/>
      <c r="E2" s="4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 ht="15.75" customHeight="1">
      <c r="A3" s="41"/>
      <c r="B3" s="42"/>
      <c r="C3" s="42"/>
      <c r="D3" s="42"/>
      <c r="E3" s="4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</row>
    <row r="4" ht="14.65" customHeight="1">
      <c r="A4" t="s" s="43">
        <v>28</v>
      </c>
      <c r="B4" s="44">
        <v>2011</v>
      </c>
      <c r="C4" s="45"/>
      <c r="D4" s="44">
        <v>2012</v>
      </c>
      <c r="E4" s="45"/>
      <c r="F4" s="44">
        <v>2013</v>
      </c>
      <c r="G4" s="45"/>
      <c r="H4" s="44">
        <v>2014</v>
      </c>
      <c r="I4" s="45"/>
      <c r="J4" s="44">
        <v>2015</v>
      </c>
      <c r="K4" s="45"/>
      <c r="L4" s="44">
        <v>2016</v>
      </c>
      <c r="M4" s="45"/>
      <c r="N4" s="44">
        <v>2017</v>
      </c>
      <c r="O4" s="45"/>
      <c r="P4" s="44">
        <v>2018</v>
      </c>
      <c r="Q4" s="45"/>
      <c r="R4" s="44">
        <v>2019</v>
      </c>
      <c r="S4" s="45"/>
      <c r="T4" s="44">
        <v>2020</v>
      </c>
      <c r="U4" s="45"/>
      <c r="V4" s="44">
        <v>2021</v>
      </c>
      <c r="W4" s="45"/>
      <c r="X4" s="44">
        <v>2022</v>
      </c>
      <c r="Y4" s="45"/>
      <c r="Z4" s="44">
        <v>2023</v>
      </c>
      <c r="AA4" s="46"/>
    </row>
    <row r="5" ht="12.75" customHeight="1">
      <c r="A5" s="47"/>
      <c r="B5" t="s" s="48">
        <v>29</v>
      </c>
      <c r="C5" t="s" s="48">
        <v>30</v>
      </c>
      <c r="D5" t="s" s="48">
        <v>29</v>
      </c>
      <c r="E5" t="s" s="48">
        <v>30</v>
      </c>
      <c r="F5" t="s" s="48">
        <v>29</v>
      </c>
      <c r="G5" t="s" s="48">
        <v>30</v>
      </c>
      <c r="H5" t="s" s="48">
        <v>29</v>
      </c>
      <c r="I5" t="s" s="48">
        <v>30</v>
      </c>
      <c r="J5" t="s" s="48">
        <v>29</v>
      </c>
      <c r="K5" t="s" s="48">
        <v>30</v>
      </c>
      <c r="L5" t="s" s="48">
        <v>29</v>
      </c>
      <c r="M5" t="s" s="48">
        <v>30</v>
      </c>
      <c r="N5" t="s" s="48">
        <v>29</v>
      </c>
      <c r="O5" t="s" s="48">
        <v>30</v>
      </c>
      <c r="P5" t="s" s="48">
        <v>29</v>
      </c>
      <c r="Q5" t="s" s="48">
        <v>30</v>
      </c>
      <c r="R5" t="s" s="48">
        <v>29</v>
      </c>
      <c r="S5" t="s" s="48">
        <v>30</v>
      </c>
      <c r="T5" t="s" s="48">
        <v>29</v>
      </c>
      <c r="U5" t="s" s="48">
        <v>30</v>
      </c>
      <c r="V5" t="s" s="48">
        <v>29</v>
      </c>
      <c r="W5" t="s" s="48">
        <v>30</v>
      </c>
      <c r="X5" t="s" s="48">
        <v>29</v>
      </c>
      <c r="Y5" t="s" s="48">
        <v>30</v>
      </c>
      <c r="Z5" t="s" s="48">
        <v>29</v>
      </c>
      <c r="AA5" t="s" s="49">
        <v>30</v>
      </c>
    </row>
    <row r="6" ht="21.75" customHeight="1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2"/>
    </row>
    <row r="7" ht="14.25" customHeight="1">
      <c r="A7" t="s" s="53">
        <v>31</v>
      </c>
      <c r="B7" s="54">
        <v>179232.137089661</v>
      </c>
      <c r="C7" s="55">
        <v>10.8143010073273</v>
      </c>
      <c r="D7" s="54">
        <v>179952.501809273</v>
      </c>
      <c r="E7" s="55">
        <v>11.0204340201962</v>
      </c>
      <c r="F7" s="54">
        <v>180806.069728834</v>
      </c>
      <c r="G7" s="55">
        <v>11.1521897575655</v>
      </c>
      <c r="H7" s="54">
        <v>187596.926823053</v>
      </c>
      <c r="I7" s="55">
        <v>11.4677111597544</v>
      </c>
      <c r="J7" s="54">
        <v>183368.791636092</v>
      </c>
      <c r="K7" s="55">
        <v>11.0245445866371</v>
      </c>
      <c r="L7" s="54">
        <v>181064.909509724</v>
      </c>
      <c r="M7" s="55">
        <v>10.6205354097927</v>
      </c>
      <c r="N7" s="54">
        <v>186558.303584604</v>
      </c>
      <c r="O7" s="55">
        <v>10.6941273816865</v>
      </c>
      <c r="P7" s="54">
        <v>182010.707847264</v>
      </c>
      <c r="Q7" s="55">
        <v>10.2382945403886</v>
      </c>
      <c r="R7" s="54">
        <v>175407.655517711</v>
      </c>
      <c r="S7" s="55">
        <v>9.72290247332919</v>
      </c>
      <c r="T7" s="54">
        <v>149900.331075851</v>
      </c>
      <c r="U7" s="55">
        <v>8.976003768347461</v>
      </c>
      <c r="V7" s="54">
        <v>165510.24838</v>
      </c>
      <c r="W7" s="55">
        <v>8.982881066312141</v>
      </c>
      <c r="X7" s="54">
        <v>182642.0339</v>
      </c>
      <c r="Y7" s="55">
        <v>9.140910790729031</v>
      </c>
      <c r="Z7" s="54">
        <v>197569.59208</v>
      </c>
      <c r="AA7" s="55">
        <v>9.22101350334969</v>
      </c>
    </row>
    <row r="8" ht="14.25" customHeight="1">
      <c r="A8" t="s" s="25">
        <v>32</v>
      </c>
      <c r="B8" s="56">
        <v>93265.107644834</v>
      </c>
      <c r="C8" s="57">
        <v>5.62732199665433</v>
      </c>
      <c r="D8" s="56">
        <v>97095.838040930394</v>
      </c>
      <c r="E8" s="57">
        <v>5.94622617639311</v>
      </c>
      <c r="F8" s="56">
        <v>97923.217670418395</v>
      </c>
      <c r="G8" s="57">
        <v>6.03994272299442</v>
      </c>
      <c r="H8" s="56">
        <v>97055.9972152751</v>
      </c>
      <c r="I8" s="57">
        <v>5.93298707625701</v>
      </c>
      <c r="J8" s="56">
        <v>92625.377051246905</v>
      </c>
      <c r="K8" s="57">
        <v>5.56884620356822</v>
      </c>
      <c r="L8" s="56">
        <v>94603.7115712868</v>
      </c>
      <c r="M8" s="57">
        <v>5.54907116658466</v>
      </c>
      <c r="N8" s="56">
        <v>97846.228875352</v>
      </c>
      <c r="O8" s="57">
        <v>5.60886337035185</v>
      </c>
      <c r="P8" s="56">
        <v>94036.7130422218</v>
      </c>
      <c r="Q8" s="57">
        <v>5.2896644220745</v>
      </c>
      <c r="R8" s="56">
        <v>88977.772100966395</v>
      </c>
      <c r="S8" s="57">
        <v>4.93206637919208</v>
      </c>
      <c r="T8" s="56">
        <v>79287.029687228</v>
      </c>
      <c r="U8" s="57">
        <v>4.74769249771382</v>
      </c>
      <c r="V8" s="56">
        <v>90467.23203</v>
      </c>
      <c r="W8" s="57">
        <v>4.91000644176517</v>
      </c>
      <c r="X8" s="56">
        <v>101509.89268</v>
      </c>
      <c r="Y8" s="57">
        <v>5.08039060642741</v>
      </c>
      <c r="Z8" s="56">
        <v>108171.10294</v>
      </c>
      <c r="AA8" s="57">
        <v>5.04858662905009</v>
      </c>
    </row>
    <row r="9" ht="14.25" customHeight="1">
      <c r="A9" t="s" s="25">
        <v>33</v>
      </c>
      <c r="B9" s="56">
        <v>70314.3111900978</v>
      </c>
      <c r="C9" s="57">
        <v>4.24254343378278</v>
      </c>
      <c r="D9" s="56">
        <v>70943.4878831508</v>
      </c>
      <c r="E9" s="57">
        <v>4.34463549835772</v>
      </c>
      <c r="F9" s="56">
        <v>71312.3774163029</v>
      </c>
      <c r="G9" s="57">
        <v>4.398575590977</v>
      </c>
      <c r="H9" s="56">
        <v>78258.906669999706</v>
      </c>
      <c r="I9" s="57">
        <v>4.78392984665596</v>
      </c>
      <c r="J9" s="56">
        <v>76856.056864634695</v>
      </c>
      <c r="K9" s="57">
        <v>4.62075917116154</v>
      </c>
      <c r="L9" s="56">
        <v>74649.4212019246</v>
      </c>
      <c r="M9" s="57">
        <v>4.37863318376991</v>
      </c>
      <c r="N9" s="56">
        <v>76698.7098307464</v>
      </c>
      <c r="O9" s="57">
        <v>4.39661895064906</v>
      </c>
      <c r="P9" s="56">
        <v>74976.8889345006</v>
      </c>
      <c r="Q9" s="57">
        <v>4.21752918667614</v>
      </c>
      <c r="R9" s="56">
        <v>74206.0079965989</v>
      </c>
      <c r="S9" s="57">
        <v>4.11326276813026</v>
      </c>
      <c r="T9" s="56">
        <v>60047.4552326654</v>
      </c>
      <c r="U9" s="57">
        <v>3.59563038039821</v>
      </c>
      <c r="V9" s="56">
        <v>65508.95725</v>
      </c>
      <c r="W9" s="57">
        <v>3.55542437712869</v>
      </c>
      <c r="X9" s="56">
        <v>69359.295629999993</v>
      </c>
      <c r="Y9" s="57">
        <v>3.47131008302701</v>
      </c>
      <c r="Z9" s="56">
        <v>77173.70668</v>
      </c>
      <c r="AA9" s="57">
        <v>3.60186901186534</v>
      </c>
    </row>
    <row r="10" ht="14.25" customHeight="1">
      <c r="A10" t="s" s="58">
        <v>34</v>
      </c>
      <c r="B10" s="59">
        <v>15652.7182547292</v>
      </c>
      <c r="C10" s="60">
        <v>0.944435576890146</v>
      </c>
      <c r="D10" s="59">
        <v>11913.175885192</v>
      </c>
      <c r="E10" s="60">
        <v>0.729572345445353</v>
      </c>
      <c r="F10" s="59">
        <v>11570.474642113</v>
      </c>
      <c r="G10" s="60">
        <v>0.713671443594049</v>
      </c>
      <c r="H10" s="59">
        <v>12282.0229377782</v>
      </c>
      <c r="I10" s="60">
        <v>0.750794236841469</v>
      </c>
      <c r="J10" s="59">
        <v>13887.3577202105</v>
      </c>
      <c r="K10" s="60">
        <v>0.834939211907341</v>
      </c>
      <c r="L10" s="59">
        <v>11811.7767365122</v>
      </c>
      <c r="M10" s="60">
        <v>0.692831059438143</v>
      </c>
      <c r="N10" s="59">
        <v>12013.3648785057</v>
      </c>
      <c r="O10" s="60">
        <v>0.688645060685579</v>
      </c>
      <c r="P10" s="59">
        <v>12997.1058705419</v>
      </c>
      <c r="Q10" s="60">
        <v>0.731100931637973</v>
      </c>
      <c r="R10" s="59">
        <v>12223.8754201455</v>
      </c>
      <c r="S10" s="60">
        <v>0.677573326006857</v>
      </c>
      <c r="T10" s="59">
        <v>10565.8461559577</v>
      </c>
      <c r="U10" s="60">
        <v>0.6326808902354329</v>
      </c>
      <c r="V10" s="59">
        <v>9534.0591</v>
      </c>
      <c r="W10" s="60">
        <v>0.5174502474182739</v>
      </c>
      <c r="X10" s="59">
        <v>11772.84559</v>
      </c>
      <c r="Y10" s="60">
        <v>0.5892101012745981</v>
      </c>
      <c r="Z10" s="59">
        <v>12224.78246</v>
      </c>
      <c r="AA10" s="60">
        <v>0.570557862434255</v>
      </c>
    </row>
    <row r="11" ht="14.25" customHeight="1">
      <c r="A11" t="s" s="61">
        <v>35</v>
      </c>
      <c r="B11" s="62">
        <v>16105.38</v>
      </c>
      <c r="C11" s="63">
        <v>0.971747756766747</v>
      </c>
      <c r="D11" s="62">
        <v>17346.25</v>
      </c>
      <c r="E11" s="63">
        <v>1.06229811589636</v>
      </c>
      <c r="F11" s="62">
        <v>17649.63</v>
      </c>
      <c r="G11" s="63">
        <v>1.08863614593261</v>
      </c>
      <c r="H11" s="62">
        <v>16463.64</v>
      </c>
      <c r="I11" s="63">
        <v>1.00641450452044</v>
      </c>
      <c r="J11" s="62">
        <v>17233.32</v>
      </c>
      <c r="K11" s="63">
        <v>1.03610599721261</v>
      </c>
      <c r="L11" s="62">
        <v>18077.56</v>
      </c>
      <c r="M11" s="63">
        <v>1.0603565683849</v>
      </c>
      <c r="N11" s="62">
        <v>18896.43</v>
      </c>
      <c r="O11" s="63">
        <v>1.08320469041722</v>
      </c>
      <c r="P11" s="62">
        <v>19367.5</v>
      </c>
      <c r="Q11" s="63">
        <v>1.08944232927973</v>
      </c>
      <c r="R11" s="62">
        <v>19609.69</v>
      </c>
      <c r="S11" s="63">
        <v>1.08697139152497</v>
      </c>
      <c r="T11" s="62">
        <v>17555.94</v>
      </c>
      <c r="U11" s="63">
        <v>1.0512464012981</v>
      </c>
      <c r="V11" s="62">
        <v>18531.12447</v>
      </c>
      <c r="W11" s="63">
        <v>1.00575576901347</v>
      </c>
      <c r="X11" s="62">
        <v>19773.69115</v>
      </c>
      <c r="Y11" s="63">
        <v>0.989638271902632</v>
      </c>
      <c r="Z11" s="62">
        <v>19971.68473</v>
      </c>
      <c r="AA11" s="63">
        <v>0.932123069350687</v>
      </c>
    </row>
    <row r="12" ht="14.25" customHeight="1">
      <c r="A12" t="s" s="61">
        <v>36</v>
      </c>
      <c r="B12" s="62">
        <v>195337.517089661</v>
      </c>
      <c r="C12" s="63">
        <v>11.786048764094</v>
      </c>
      <c r="D12" s="62">
        <v>197298.751809273</v>
      </c>
      <c r="E12" s="63">
        <v>12.0827321360925</v>
      </c>
      <c r="F12" s="62">
        <v>198455.699728834</v>
      </c>
      <c r="G12" s="63">
        <v>12.2408259034981</v>
      </c>
      <c r="H12" s="62">
        <v>204060.566823053</v>
      </c>
      <c r="I12" s="63">
        <v>12.4741256642749</v>
      </c>
      <c r="J12" s="62">
        <v>200602.111636092</v>
      </c>
      <c r="K12" s="63">
        <v>12.0606505838497</v>
      </c>
      <c r="L12" s="62">
        <v>199142.469509724</v>
      </c>
      <c r="M12" s="63">
        <v>11.6808919781776</v>
      </c>
      <c r="N12" s="62">
        <v>205454.733584604</v>
      </c>
      <c r="O12" s="63">
        <v>11.7773320721037</v>
      </c>
      <c r="P12" s="62">
        <v>201378.207847264</v>
      </c>
      <c r="Q12" s="63">
        <v>11.3277368696683</v>
      </c>
      <c r="R12" s="62">
        <v>195017.345517711</v>
      </c>
      <c r="S12" s="63">
        <v>10.8098738648542</v>
      </c>
      <c r="T12" s="62">
        <v>167456.271075851</v>
      </c>
      <c r="U12" s="63">
        <v>10.0272501696456</v>
      </c>
      <c r="V12" s="62">
        <v>184041.37285</v>
      </c>
      <c r="W12" s="63">
        <v>9.9886368353256</v>
      </c>
      <c r="X12" s="62">
        <v>202415.72505</v>
      </c>
      <c r="Y12" s="63">
        <v>10.1305490626317</v>
      </c>
      <c r="Z12" s="62">
        <v>217541.27681</v>
      </c>
      <c r="AA12" s="63">
        <v>10.1531365727004</v>
      </c>
    </row>
    <row r="13" ht="14" customHeight="1">
      <c r="A13" t="s" s="64">
        <v>37</v>
      </c>
      <c r="B13" s="65">
        <v>1480015.2054831</v>
      </c>
      <c r="C13" s="66"/>
      <c r="D13" s="65">
        <v>1455350.51206727</v>
      </c>
      <c r="E13" s="66"/>
      <c r="F13" s="65">
        <v>1445573.72348934</v>
      </c>
      <c r="G13" s="66"/>
      <c r="H13" s="65">
        <v>1453767.67348511</v>
      </c>
      <c r="I13" s="66"/>
      <c r="J13" s="65">
        <v>1479703.69094174</v>
      </c>
      <c r="K13" s="66"/>
      <c r="L13" s="65">
        <v>1515428.68655962</v>
      </c>
      <c r="M13" s="66"/>
      <c r="N13" s="65">
        <v>1552004.02548435</v>
      </c>
      <c r="O13" s="66"/>
      <c r="P13" s="65">
        <v>1582453.40805262</v>
      </c>
      <c r="Q13" s="66"/>
      <c r="R13" s="65">
        <v>1604269.76638617</v>
      </c>
      <c r="S13" s="66"/>
      <c r="T13" s="65">
        <v>1496321.89069928</v>
      </c>
      <c r="U13" s="66"/>
      <c r="V13" s="65">
        <v>1644016.4</v>
      </c>
      <c r="W13" s="66"/>
      <c r="X13" s="65">
        <v>1793606.6</v>
      </c>
      <c r="Y13" s="66"/>
      <c r="Z13" s="65">
        <v>1924798.35127</v>
      </c>
      <c r="AA13" s="66"/>
    </row>
    <row r="14" ht="14" customHeight="1">
      <c r="A14" t="s" s="67">
        <v>38</v>
      </c>
      <c r="B14" s="68">
        <v>1657362.2</v>
      </c>
      <c r="C14" s="69"/>
      <c r="D14" s="68">
        <v>1632898.5</v>
      </c>
      <c r="E14" s="69"/>
      <c r="F14" s="68">
        <v>1621260.7</v>
      </c>
      <c r="G14" s="69"/>
      <c r="H14" s="68">
        <v>1635870.7</v>
      </c>
      <c r="I14" s="69"/>
      <c r="J14" s="68">
        <v>1663277.7</v>
      </c>
      <c r="K14" s="69"/>
      <c r="L14" s="68">
        <v>1704856.7</v>
      </c>
      <c r="M14" s="69"/>
      <c r="N14" s="68">
        <v>1744493</v>
      </c>
      <c r="O14" s="69"/>
      <c r="P14" s="68">
        <v>1777744.4</v>
      </c>
      <c r="Q14" s="69"/>
      <c r="R14" s="68">
        <v>1804066.8</v>
      </c>
      <c r="S14" s="69"/>
      <c r="T14" s="68">
        <v>1670011.9</v>
      </c>
      <c r="U14" s="69"/>
      <c r="V14" s="68">
        <v>1842507.4</v>
      </c>
      <c r="W14" s="69"/>
      <c r="X14" s="68">
        <v>1998072.6</v>
      </c>
      <c r="Y14" s="69"/>
      <c r="Z14" s="68">
        <v>2142601.7</v>
      </c>
      <c r="AA14" s="69"/>
    </row>
    <row r="15" ht="14" customHeight="1">
      <c r="A15" s="70"/>
      <c r="B15" s="71"/>
      <c r="C15" s="71"/>
      <c r="D15" s="71"/>
      <c r="E15" s="71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</row>
  </sheetData>
  <mergeCells count="40">
    <mergeCell ref="H5:H6"/>
    <mergeCell ref="J5:J6"/>
    <mergeCell ref="I5:I6"/>
    <mergeCell ref="M5:M6"/>
    <mergeCell ref="K5:K6"/>
    <mergeCell ref="L5:L6"/>
    <mergeCell ref="F5:F6"/>
    <mergeCell ref="D5:D6"/>
    <mergeCell ref="E5:E6"/>
    <mergeCell ref="A4:A6"/>
    <mergeCell ref="B5:B6"/>
    <mergeCell ref="C5:C6"/>
    <mergeCell ref="B4:C4"/>
    <mergeCell ref="D4:E4"/>
    <mergeCell ref="F4:G4"/>
    <mergeCell ref="G5:G6"/>
    <mergeCell ref="H4:I4"/>
    <mergeCell ref="J4:K4"/>
    <mergeCell ref="L4:M4"/>
    <mergeCell ref="N4:O4"/>
    <mergeCell ref="P4:Q4"/>
    <mergeCell ref="N5:N6"/>
    <mergeCell ref="O5:O6"/>
    <mergeCell ref="P5:P6"/>
    <mergeCell ref="Q5:Q6"/>
    <mergeCell ref="R4:S4"/>
    <mergeCell ref="R5:R6"/>
    <mergeCell ref="S5:S6"/>
    <mergeCell ref="T5:T6"/>
    <mergeCell ref="U5:U6"/>
    <mergeCell ref="V5:V6"/>
    <mergeCell ref="Z4:AA4"/>
    <mergeCell ref="Z5:Z6"/>
    <mergeCell ref="AA5:AA6"/>
    <mergeCell ref="T4:U4"/>
    <mergeCell ref="V4:W4"/>
    <mergeCell ref="W5:W6"/>
    <mergeCell ref="X4:Y4"/>
    <mergeCell ref="X5:X6"/>
    <mergeCell ref="Y5:Y6"/>
  </mergeCells>
  <pageMargins left="0.708661" right="0.708661" top="0.748031" bottom="0.748031" header="0.314961" footer="0.314961"/>
  <pageSetup firstPageNumber="1" fitToHeight="1" fitToWidth="1" scale="85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O10"/>
  <sheetViews>
    <sheetView workbookViewId="0" showGridLines="0" defaultGridColor="1"/>
  </sheetViews>
  <sheetFormatPr defaultColWidth="8.66667" defaultRowHeight="12.75" customHeight="1" outlineLevelRow="0" outlineLevelCol="0"/>
  <cols>
    <col min="1" max="1" width="28.1719" style="74" customWidth="1"/>
    <col min="2" max="8" width="9.67188" style="74" customWidth="1"/>
    <col min="9" max="10" width="10.6719" style="74" customWidth="1"/>
    <col min="11" max="14" width="11.5" style="74" customWidth="1"/>
    <col min="15" max="15" width="8.67188" style="74" customWidth="1"/>
    <col min="16" max="16384" width="8.67188" style="74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5.75" customHeight="1">
      <c r="A2" t="s" s="75">
        <v>39</v>
      </c>
      <c r="B2" s="40"/>
      <c r="C2" s="40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5.75" customHeight="1">
      <c r="A3" s="41"/>
      <c r="B3" s="42"/>
      <c r="C3" s="42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7"/>
    </row>
    <row r="4" ht="27.75" customHeight="1">
      <c r="A4" t="s" s="76">
        <v>28</v>
      </c>
      <c r="B4" s="44">
        <v>2011</v>
      </c>
      <c r="C4" s="44">
        <v>2012</v>
      </c>
      <c r="D4" s="44">
        <v>2013</v>
      </c>
      <c r="E4" s="44">
        <v>2014</v>
      </c>
      <c r="F4" s="44">
        <v>2015</v>
      </c>
      <c r="G4" s="44">
        <v>2016</v>
      </c>
      <c r="H4" s="44">
        <v>2017</v>
      </c>
      <c r="I4" s="44">
        <v>2018</v>
      </c>
      <c r="J4" s="44">
        <v>2019</v>
      </c>
      <c r="K4" s="44">
        <v>2020</v>
      </c>
      <c r="L4" s="44">
        <v>2021</v>
      </c>
      <c r="M4" s="44">
        <v>2022</v>
      </c>
      <c r="N4" s="44">
        <v>2023</v>
      </c>
      <c r="O4" s="7"/>
    </row>
    <row r="5" ht="14.25" customHeight="1">
      <c r="A5" t="s" s="77">
        <v>40</v>
      </c>
      <c r="B5" s="78">
        <v>47.7456194971624</v>
      </c>
      <c r="C5" s="78">
        <v>49.2125962027332</v>
      </c>
      <c r="D5" s="78">
        <v>49.3426078486124</v>
      </c>
      <c r="E5" s="78">
        <v>47.5623481431546</v>
      </c>
      <c r="F5" s="78">
        <v>46.1736799756508</v>
      </c>
      <c r="G5" s="78">
        <v>47.5055430437291</v>
      </c>
      <c r="H5" s="78">
        <v>47.6242270831205</v>
      </c>
      <c r="I5" s="78">
        <v>46.6965686344493</v>
      </c>
      <c r="J5" s="78">
        <v>45.6255682615092</v>
      </c>
      <c r="K5" s="78">
        <v>47.3479011432866</v>
      </c>
      <c r="L5" s="78">
        <v>49.1559211002701</v>
      </c>
      <c r="M5" s="78">
        <v>50.1492127921017</v>
      </c>
      <c r="N5" s="78">
        <v>49.7244038125585</v>
      </c>
      <c r="O5" s="79"/>
    </row>
    <row r="6" ht="14.25" customHeight="1">
      <c r="A6" t="s" s="80">
        <v>41</v>
      </c>
      <c r="B6" s="81">
        <v>35.9963166511547</v>
      </c>
      <c r="C6" s="81">
        <v>35.9573931576269</v>
      </c>
      <c r="D6" s="81">
        <v>35.933650438734</v>
      </c>
      <c r="E6" s="81">
        <v>38.3508229386917</v>
      </c>
      <c r="F6" s="81">
        <v>38.3126858624786</v>
      </c>
      <c r="G6" s="81">
        <v>37.4854351187403</v>
      </c>
      <c r="H6" s="81">
        <v>37.3311962652652</v>
      </c>
      <c r="I6" s="81">
        <v>37.2318781341857</v>
      </c>
      <c r="J6" s="81">
        <v>38.050978388412</v>
      </c>
      <c r="K6" s="81">
        <v>35.8585885418804</v>
      </c>
      <c r="L6" s="81">
        <v>35.5946906043741</v>
      </c>
      <c r="M6" s="81">
        <v>34.2657644868585</v>
      </c>
      <c r="N6" s="81">
        <v>35.4754315188668</v>
      </c>
      <c r="O6" s="79"/>
    </row>
    <row r="7" ht="14.25" customHeight="1">
      <c r="A7" t="s" s="82">
        <v>42</v>
      </c>
      <c r="B7" s="81">
        <v>8.01316536011079</v>
      </c>
      <c r="C7" s="81">
        <v>6.03814052341717</v>
      </c>
      <c r="D7" s="81">
        <v>5.83025564794694</v>
      </c>
      <c r="E7" s="81">
        <v>6.01881251678983</v>
      </c>
      <c r="F7" s="81">
        <v>6.92283725577291</v>
      </c>
      <c r="G7" s="81">
        <v>5.93131980616291</v>
      </c>
      <c r="H7" s="81">
        <v>5.84720763980777</v>
      </c>
      <c r="I7" s="81">
        <v>6.45407763306721</v>
      </c>
      <c r="J7" s="81">
        <v>6.26809650582355</v>
      </c>
      <c r="K7" s="81">
        <v>6.30961509418286</v>
      </c>
      <c r="L7" s="81">
        <v>5.18038903555158</v>
      </c>
      <c r="M7" s="81">
        <v>5.81617143978904</v>
      </c>
      <c r="N7" s="81">
        <v>5.61952317245848</v>
      </c>
      <c r="O7" s="79"/>
    </row>
    <row r="8" ht="14.25" customHeight="1">
      <c r="A8" t="s" s="82">
        <v>43</v>
      </c>
      <c r="B8" s="81">
        <v>8.244898491572171</v>
      </c>
      <c r="C8" s="81">
        <v>8.791870116222761</v>
      </c>
      <c r="D8" s="81">
        <v>8.89348606470667</v>
      </c>
      <c r="E8" s="81">
        <v>8.06801640136387</v>
      </c>
      <c r="F8" s="81">
        <v>8.59079690609768</v>
      </c>
      <c r="G8" s="81">
        <v>9.077702031367711</v>
      </c>
      <c r="H8" s="81">
        <v>9.19736901180651</v>
      </c>
      <c r="I8" s="81">
        <v>9.61747559829776</v>
      </c>
      <c r="J8" s="81">
        <v>10.0553568442552</v>
      </c>
      <c r="K8" s="81">
        <v>10.4838952206501</v>
      </c>
      <c r="L8" s="81">
        <v>10.0689992598042</v>
      </c>
      <c r="M8" s="81">
        <v>9.768851281250789</v>
      </c>
      <c r="N8" s="81">
        <v>9.180641496116261</v>
      </c>
      <c r="O8" s="79"/>
    </row>
    <row r="9" ht="14.25" customHeight="1">
      <c r="A9" t="s" s="83">
        <v>36</v>
      </c>
      <c r="B9" s="84">
        <v>100</v>
      </c>
      <c r="C9" s="84">
        <v>100</v>
      </c>
      <c r="D9" s="84">
        <v>100</v>
      </c>
      <c r="E9" s="84">
        <v>100</v>
      </c>
      <c r="F9" s="84">
        <v>100</v>
      </c>
      <c r="G9" s="84">
        <v>100</v>
      </c>
      <c r="H9" s="84">
        <v>100</v>
      </c>
      <c r="I9" s="84">
        <v>100</v>
      </c>
      <c r="J9" s="84">
        <v>100</v>
      </c>
      <c r="K9" s="84">
        <v>100</v>
      </c>
      <c r="L9" s="84">
        <v>100</v>
      </c>
      <c r="M9" s="84">
        <v>100</v>
      </c>
      <c r="N9" s="84">
        <v>100</v>
      </c>
      <c r="O9" s="7"/>
    </row>
    <row r="10" ht="14" customHeight="1">
      <c r="A10" s="70"/>
      <c r="B10" s="71"/>
      <c r="C10" s="71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85"/>
    </row>
  </sheetData>
  <pageMargins left="0.708661" right="0.708661" top="0.748031" bottom="0.748031" header="0.314961" footer="0.314961"/>
  <pageSetup firstPageNumber="1" fitToHeight="1" fitToWidth="1" scale="85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BA18"/>
  <sheetViews>
    <sheetView workbookViewId="0" showGridLines="0" defaultGridColor="1"/>
  </sheetViews>
  <sheetFormatPr defaultColWidth="8.66667" defaultRowHeight="12.75" customHeight="1" outlineLevelRow="0" outlineLevelCol="0"/>
  <cols>
    <col min="1" max="1" width="34.3516" style="86" customWidth="1"/>
    <col min="2" max="41" width="8.35156" style="86" customWidth="1"/>
    <col min="42" max="53" width="8.67188" style="86" customWidth="1"/>
    <col min="54" max="16384" width="8.67188" style="86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</row>
    <row r="2" ht="24" customHeight="1">
      <c r="A2" t="s" s="88">
        <v>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7"/>
    </row>
    <row r="3" ht="15.75" customHeight="1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1"/>
    </row>
    <row r="4" ht="24" customHeight="1">
      <c r="A4" t="s" s="92">
        <v>28</v>
      </c>
      <c r="B4" s="93">
        <v>2011</v>
      </c>
      <c r="C4" s="94"/>
      <c r="D4" s="94"/>
      <c r="E4" s="95"/>
      <c r="F4" s="93">
        <v>2012</v>
      </c>
      <c r="G4" s="94"/>
      <c r="H4" s="94"/>
      <c r="I4" s="95"/>
      <c r="J4" s="93">
        <v>2013</v>
      </c>
      <c r="K4" s="94"/>
      <c r="L4" s="94"/>
      <c r="M4" s="95"/>
      <c r="N4" s="93">
        <v>2014</v>
      </c>
      <c r="O4" s="94"/>
      <c r="P4" s="94"/>
      <c r="Q4" s="95"/>
      <c r="R4" s="93">
        <v>2015</v>
      </c>
      <c r="S4" s="94"/>
      <c r="T4" s="94"/>
      <c r="U4" s="95"/>
      <c r="V4" s="93">
        <v>2016</v>
      </c>
      <c r="W4" s="94"/>
      <c r="X4" s="94"/>
      <c r="Y4" s="95"/>
      <c r="Z4" s="93">
        <v>2017</v>
      </c>
      <c r="AA4" s="94"/>
      <c r="AB4" s="94"/>
      <c r="AC4" s="95"/>
      <c r="AD4" s="93">
        <v>2018</v>
      </c>
      <c r="AE4" s="94"/>
      <c r="AF4" s="94"/>
      <c r="AG4" s="95"/>
      <c r="AH4" s="93">
        <v>2019</v>
      </c>
      <c r="AI4" s="94"/>
      <c r="AJ4" s="94"/>
      <c r="AK4" s="95"/>
      <c r="AL4" s="93">
        <v>2020</v>
      </c>
      <c r="AM4" s="94"/>
      <c r="AN4" s="94"/>
      <c r="AO4" s="95"/>
      <c r="AP4" s="93">
        <v>2021</v>
      </c>
      <c r="AQ4" s="94"/>
      <c r="AR4" s="94"/>
      <c r="AS4" s="95"/>
      <c r="AT4" s="93">
        <v>2022</v>
      </c>
      <c r="AU4" s="94"/>
      <c r="AV4" s="94"/>
      <c r="AW4" s="95"/>
      <c r="AX4" s="93">
        <v>2023</v>
      </c>
      <c r="AY4" s="94"/>
      <c r="AZ4" s="94"/>
      <c r="BA4" s="95"/>
    </row>
    <row r="5" ht="62.25" customHeight="1">
      <c r="A5" s="96"/>
      <c r="B5" t="s" s="97">
        <v>40</v>
      </c>
      <c r="C5" t="s" s="98">
        <v>41</v>
      </c>
      <c r="D5" t="s" s="98">
        <v>42</v>
      </c>
      <c r="E5" t="s" s="99">
        <v>45</v>
      </c>
      <c r="F5" t="s" s="97">
        <v>40</v>
      </c>
      <c r="G5" t="s" s="98">
        <v>41</v>
      </c>
      <c r="H5" t="s" s="98">
        <v>42</v>
      </c>
      <c r="I5" t="s" s="99">
        <v>45</v>
      </c>
      <c r="J5" t="s" s="97">
        <v>40</v>
      </c>
      <c r="K5" t="s" s="98">
        <v>41</v>
      </c>
      <c r="L5" t="s" s="98">
        <v>42</v>
      </c>
      <c r="M5" t="s" s="99">
        <v>45</v>
      </c>
      <c r="N5" t="s" s="97">
        <v>40</v>
      </c>
      <c r="O5" t="s" s="98">
        <v>41</v>
      </c>
      <c r="P5" t="s" s="98">
        <v>42</v>
      </c>
      <c r="Q5" t="s" s="99">
        <v>45</v>
      </c>
      <c r="R5" t="s" s="97">
        <v>40</v>
      </c>
      <c r="S5" t="s" s="98">
        <v>41</v>
      </c>
      <c r="T5" t="s" s="98">
        <v>42</v>
      </c>
      <c r="U5" t="s" s="99">
        <v>45</v>
      </c>
      <c r="V5" t="s" s="97">
        <v>40</v>
      </c>
      <c r="W5" t="s" s="98">
        <v>41</v>
      </c>
      <c r="X5" t="s" s="98">
        <v>42</v>
      </c>
      <c r="Y5" t="s" s="99">
        <v>45</v>
      </c>
      <c r="Z5" t="s" s="97">
        <v>40</v>
      </c>
      <c r="AA5" t="s" s="98">
        <v>41</v>
      </c>
      <c r="AB5" t="s" s="98">
        <v>42</v>
      </c>
      <c r="AC5" t="s" s="99">
        <v>45</v>
      </c>
      <c r="AD5" t="s" s="97">
        <v>40</v>
      </c>
      <c r="AE5" t="s" s="98">
        <v>41</v>
      </c>
      <c r="AF5" t="s" s="98">
        <v>42</v>
      </c>
      <c r="AG5" t="s" s="99">
        <v>45</v>
      </c>
      <c r="AH5" t="s" s="97">
        <v>40</v>
      </c>
      <c r="AI5" t="s" s="98">
        <v>41</v>
      </c>
      <c r="AJ5" t="s" s="98">
        <v>42</v>
      </c>
      <c r="AK5" t="s" s="99">
        <v>45</v>
      </c>
      <c r="AL5" t="s" s="97">
        <v>40</v>
      </c>
      <c r="AM5" t="s" s="98">
        <v>41</v>
      </c>
      <c r="AN5" t="s" s="98">
        <v>42</v>
      </c>
      <c r="AO5" t="s" s="99">
        <v>45</v>
      </c>
      <c r="AP5" t="s" s="97">
        <v>40</v>
      </c>
      <c r="AQ5" t="s" s="98">
        <v>41</v>
      </c>
      <c r="AR5" t="s" s="98">
        <v>42</v>
      </c>
      <c r="AS5" t="s" s="99">
        <v>45</v>
      </c>
      <c r="AT5" t="s" s="97">
        <v>40</v>
      </c>
      <c r="AU5" t="s" s="98">
        <v>41</v>
      </c>
      <c r="AV5" t="s" s="98">
        <v>42</v>
      </c>
      <c r="AW5" t="s" s="99">
        <v>45</v>
      </c>
      <c r="AX5" t="s" s="97">
        <v>40</v>
      </c>
      <c r="AY5" t="s" s="98">
        <v>41</v>
      </c>
      <c r="AZ5" t="s" s="98">
        <v>42</v>
      </c>
      <c r="BA5" t="s" s="99">
        <v>45</v>
      </c>
    </row>
    <row r="6" ht="14.25" customHeight="1">
      <c r="A6" t="s" s="100">
        <v>46</v>
      </c>
      <c r="B6" s="101">
        <v>0</v>
      </c>
      <c r="C6" s="78">
        <v>17.1675339439131</v>
      </c>
      <c r="D6" s="78">
        <v>0</v>
      </c>
      <c r="E6" s="102">
        <v>17.1675339439131</v>
      </c>
      <c r="F6" s="101">
        <v>0</v>
      </c>
      <c r="G6" s="78">
        <v>18.203384319447</v>
      </c>
      <c r="H6" s="78">
        <v>0</v>
      </c>
      <c r="I6" s="102">
        <v>18.203384319447</v>
      </c>
      <c r="J6" s="101">
        <v>0</v>
      </c>
      <c r="K6" s="78">
        <v>17.9352382436964</v>
      </c>
      <c r="L6" s="78">
        <v>0</v>
      </c>
      <c r="M6" s="102">
        <v>17.9352382436964</v>
      </c>
      <c r="N6" s="101">
        <v>0</v>
      </c>
      <c r="O6" s="78">
        <v>18.6789257176479</v>
      </c>
      <c r="P6" s="78">
        <v>0</v>
      </c>
      <c r="Q6" s="102">
        <v>18.6789257176479</v>
      </c>
      <c r="R6" s="101">
        <v>0</v>
      </c>
      <c r="S6" s="78">
        <v>17.0264215804305</v>
      </c>
      <c r="T6" s="78">
        <v>0</v>
      </c>
      <c r="U6" s="102">
        <v>17.0264215804305</v>
      </c>
      <c r="V6" s="101">
        <v>0</v>
      </c>
      <c r="W6" s="78">
        <v>18.1937595358257</v>
      </c>
      <c r="X6" s="78">
        <v>0</v>
      </c>
      <c r="Y6" s="102">
        <v>18.1937595358257</v>
      </c>
      <c r="Z6" s="101">
        <v>0</v>
      </c>
      <c r="AA6" s="78">
        <v>17.7167427594752</v>
      </c>
      <c r="AB6" s="78">
        <v>0</v>
      </c>
      <c r="AC6" s="102">
        <v>17.7167427594752</v>
      </c>
      <c r="AD6" s="101">
        <v>0</v>
      </c>
      <c r="AE6" s="78">
        <v>18.0514457973159</v>
      </c>
      <c r="AF6" s="78">
        <v>0</v>
      </c>
      <c r="AG6" s="102">
        <v>18.0514457973159</v>
      </c>
      <c r="AH6" s="101">
        <v>0</v>
      </c>
      <c r="AI6" s="78">
        <v>18.2682973551236</v>
      </c>
      <c r="AJ6" s="78">
        <v>0</v>
      </c>
      <c r="AK6" s="102">
        <v>18.2682973551236</v>
      </c>
      <c r="AL6" s="101">
        <v>0</v>
      </c>
      <c r="AM6" s="78">
        <v>17.6551527761737</v>
      </c>
      <c r="AN6" s="78">
        <v>0</v>
      </c>
      <c r="AO6" s="102">
        <v>17.6551527761737</v>
      </c>
      <c r="AP6" s="101">
        <v>0</v>
      </c>
      <c r="AQ6" s="78">
        <v>16.293424453618</v>
      </c>
      <c r="AR6" s="78">
        <v>0</v>
      </c>
      <c r="AS6" s="102">
        <v>16.293424453618</v>
      </c>
      <c r="AT6" s="101">
        <v>0</v>
      </c>
      <c r="AU6" s="78">
        <v>15.3406570135885</v>
      </c>
      <c r="AV6" s="78">
        <v>0</v>
      </c>
      <c r="AW6" s="102">
        <v>15.3406570135885</v>
      </c>
      <c r="AX6" s="101">
        <v>0</v>
      </c>
      <c r="AY6" s="78">
        <v>14.9444241578595</v>
      </c>
      <c r="AZ6" s="78">
        <v>0</v>
      </c>
      <c r="BA6" s="102">
        <v>14.9444241578595</v>
      </c>
    </row>
    <row r="7" ht="14.25" customHeight="1">
      <c r="A7" t="s" s="103">
        <v>47</v>
      </c>
      <c r="B7" s="104">
        <v>7.97681560625837</v>
      </c>
      <c r="C7" s="81">
        <v>3.0919640553064</v>
      </c>
      <c r="D7" s="81">
        <v>0</v>
      </c>
      <c r="E7" s="105">
        <v>11.0687796615648</v>
      </c>
      <c r="F7" s="104">
        <v>9.84336084352878</v>
      </c>
      <c r="G7" s="81">
        <v>3.03424268124079</v>
      </c>
      <c r="H7" s="81">
        <v>0</v>
      </c>
      <c r="I7" s="105">
        <v>12.8776035247696</v>
      </c>
      <c r="J7" s="104">
        <v>9.61265056502388</v>
      </c>
      <c r="K7" s="81">
        <v>3.07893903364705</v>
      </c>
      <c r="L7" s="81">
        <v>0</v>
      </c>
      <c r="M7" s="105">
        <v>12.6915895986709</v>
      </c>
      <c r="N7" s="104">
        <v>9.361958556871789</v>
      </c>
      <c r="O7" s="81">
        <v>3.61667428190473</v>
      </c>
      <c r="P7" s="81">
        <v>0</v>
      </c>
      <c r="Q7" s="105">
        <v>12.9786328387765</v>
      </c>
      <c r="R7" s="104">
        <v>8.84086142350829</v>
      </c>
      <c r="S7" s="81">
        <v>3.5156572249683</v>
      </c>
      <c r="T7" s="81">
        <v>0</v>
      </c>
      <c r="U7" s="105">
        <v>12.3565186484766</v>
      </c>
      <c r="V7" s="104">
        <v>8.518778522698961</v>
      </c>
      <c r="W7" s="81">
        <v>3.06658774435307</v>
      </c>
      <c r="X7" s="81">
        <v>0</v>
      </c>
      <c r="Y7" s="105">
        <v>11.585366267052</v>
      </c>
      <c r="Z7" s="104">
        <v>8.943967054820281</v>
      </c>
      <c r="AA7" s="81">
        <v>3.22009296006435</v>
      </c>
      <c r="AB7" s="81">
        <v>0</v>
      </c>
      <c r="AC7" s="105">
        <v>12.1640600148846</v>
      </c>
      <c r="AD7" s="104">
        <v>8.334087472326919</v>
      </c>
      <c r="AE7" s="81">
        <v>3.06196647854157</v>
      </c>
      <c r="AF7" s="81">
        <v>0</v>
      </c>
      <c r="AG7" s="105">
        <v>11.3960539508685</v>
      </c>
      <c r="AH7" s="104">
        <v>7.66180328465908</v>
      </c>
      <c r="AI7" s="81">
        <v>2.95578423201964</v>
      </c>
      <c r="AJ7" s="81">
        <v>0</v>
      </c>
      <c r="AK7" s="105">
        <v>10.6175875166787</v>
      </c>
      <c r="AL7" s="104">
        <v>7.69566472608461</v>
      </c>
      <c r="AM7" s="81">
        <v>2.71899642369034</v>
      </c>
      <c r="AN7" s="81">
        <v>0</v>
      </c>
      <c r="AO7" s="105">
        <v>10.4146611497749</v>
      </c>
      <c r="AP7" s="104">
        <v>7.82056912764997</v>
      </c>
      <c r="AQ7" s="81">
        <v>2.83589482589759</v>
      </c>
      <c r="AR7" s="81">
        <v>0</v>
      </c>
      <c r="AS7" s="105">
        <v>10.6564639535476</v>
      </c>
      <c r="AT7" s="104">
        <v>7.67994410083009</v>
      </c>
      <c r="AU7" s="81">
        <v>2.75961966449212</v>
      </c>
      <c r="AV7" s="81">
        <v>0</v>
      </c>
      <c r="AW7" s="105">
        <v>10.4395637653222</v>
      </c>
      <c r="AX7" s="104">
        <v>7.12253015686811</v>
      </c>
      <c r="AY7" s="81">
        <v>2.76503589646873</v>
      </c>
      <c r="AZ7" s="81">
        <v>0</v>
      </c>
      <c r="BA7" s="105">
        <v>9.88756605333684</v>
      </c>
    </row>
    <row r="8" ht="14.25" customHeight="1">
      <c r="A8" t="s" s="103">
        <v>48</v>
      </c>
      <c r="B8" s="104">
        <v>2.76490434769911</v>
      </c>
      <c r="C8" s="81">
        <v>1.51047780407586</v>
      </c>
      <c r="D8" s="81">
        <v>0</v>
      </c>
      <c r="E8" s="105">
        <v>4.27538215177497</v>
      </c>
      <c r="F8" s="104">
        <v>3.83315805891779</v>
      </c>
      <c r="G8" s="81">
        <v>1.61276218217543</v>
      </c>
      <c r="H8" s="81">
        <v>0</v>
      </c>
      <c r="I8" s="105">
        <v>5.44592024109322</v>
      </c>
      <c r="J8" s="104">
        <v>3.71485763817981</v>
      </c>
      <c r="K8" s="81">
        <v>1.69601889125289</v>
      </c>
      <c r="L8" s="81">
        <v>0</v>
      </c>
      <c r="M8" s="105">
        <v>5.41087652943269</v>
      </c>
      <c r="N8" s="104">
        <v>3.52957210866005</v>
      </c>
      <c r="O8" s="81">
        <v>1.67450028890969</v>
      </c>
      <c r="P8" s="81">
        <v>0</v>
      </c>
      <c r="Q8" s="105">
        <v>5.20407239756974</v>
      </c>
      <c r="R8" s="104">
        <v>3.06734469332002</v>
      </c>
      <c r="S8" s="81">
        <v>1.68319096823882</v>
      </c>
      <c r="T8" s="81">
        <v>0</v>
      </c>
      <c r="U8" s="105">
        <v>4.75053566155884</v>
      </c>
      <c r="V8" s="104">
        <v>3.50118105807358</v>
      </c>
      <c r="W8" s="81">
        <v>1.51423070422266</v>
      </c>
      <c r="X8" s="81">
        <v>0</v>
      </c>
      <c r="Y8" s="105">
        <v>5.01541176229624</v>
      </c>
      <c r="Z8" s="104">
        <v>2.97123007603651</v>
      </c>
      <c r="AA8" s="81">
        <v>1.54296932311621</v>
      </c>
      <c r="AB8" s="81">
        <v>0</v>
      </c>
      <c r="AC8" s="105">
        <v>4.51419939915272</v>
      </c>
      <c r="AD8" s="104">
        <v>2.73575343462856</v>
      </c>
      <c r="AE8" s="81">
        <v>1.42480003383311</v>
      </c>
      <c r="AF8" s="81">
        <v>0</v>
      </c>
      <c r="AG8" s="105">
        <v>4.16055346846167</v>
      </c>
      <c r="AH8" s="104">
        <v>2.61269811156485</v>
      </c>
      <c r="AI8" s="81">
        <v>1.31936325192273</v>
      </c>
      <c r="AJ8" s="81">
        <v>0</v>
      </c>
      <c r="AK8" s="105">
        <v>3.93206136348758</v>
      </c>
      <c r="AL8" s="104">
        <v>3.01314024070183</v>
      </c>
      <c r="AM8" s="81">
        <v>1.21187183344636</v>
      </c>
      <c r="AN8" s="81">
        <v>0</v>
      </c>
      <c r="AO8" s="105">
        <v>4.2250120741482</v>
      </c>
      <c r="AP8" s="104">
        <v>2.75665049078187</v>
      </c>
      <c r="AQ8" s="81">
        <v>1.18164265399251</v>
      </c>
      <c r="AR8" s="81">
        <v>0</v>
      </c>
      <c r="AS8" s="105">
        <v>3.93829314477438</v>
      </c>
      <c r="AT8" s="104">
        <v>2.8100639227766</v>
      </c>
      <c r="AU8" s="81">
        <v>1.16873313392063</v>
      </c>
      <c r="AV8" s="81">
        <v>0</v>
      </c>
      <c r="AW8" s="105">
        <v>3.97879705669722</v>
      </c>
      <c r="AX8" s="104">
        <v>3.0149715798898</v>
      </c>
      <c r="AY8" s="81">
        <v>1.27701517174042</v>
      </c>
      <c r="AZ8" s="81">
        <v>0</v>
      </c>
      <c r="BA8" s="105">
        <v>4.29198675163023</v>
      </c>
    </row>
    <row r="9" ht="14.25" customHeight="1">
      <c r="A9" t="s" s="103">
        <v>49</v>
      </c>
      <c r="B9" s="104">
        <v>0.381444311894825</v>
      </c>
      <c r="C9" s="81">
        <v>1.70070866637815</v>
      </c>
      <c r="D9" s="81">
        <v>0</v>
      </c>
      <c r="E9" s="105">
        <v>2.08215297827298</v>
      </c>
      <c r="F9" s="104">
        <v>0.574766187529717</v>
      </c>
      <c r="G9" s="81">
        <v>3.20272030469033</v>
      </c>
      <c r="H9" s="81">
        <v>0</v>
      </c>
      <c r="I9" s="105">
        <v>3.77748649222004</v>
      </c>
      <c r="J9" s="104">
        <v>0.688509598334663</v>
      </c>
      <c r="K9" s="81">
        <v>2.80724071239997</v>
      </c>
      <c r="L9" s="81">
        <v>0</v>
      </c>
      <c r="M9" s="105">
        <v>3.49575031073464</v>
      </c>
      <c r="N9" s="104">
        <v>0.588491336836947</v>
      </c>
      <c r="O9" s="81">
        <v>3.19777442762876</v>
      </c>
      <c r="P9" s="81">
        <v>0</v>
      </c>
      <c r="Q9" s="105">
        <v>3.78626576446571</v>
      </c>
      <c r="R9" s="104">
        <v>0.660373825197893</v>
      </c>
      <c r="S9" s="81">
        <v>1.33017838994034</v>
      </c>
      <c r="T9" s="81">
        <v>0</v>
      </c>
      <c r="U9" s="105">
        <v>1.99055221513823</v>
      </c>
      <c r="V9" s="104">
        <v>0.7988505970633309</v>
      </c>
      <c r="W9" s="81">
        <v>1.49387504653886</v>
      </c>
      <c r="X9" s="81">
        <v>0</v>
      </c>
      <c r="Y9" s="105">
        <v>2.29272564360219</v>
      </c>
      <c r="Z9" s="104">
        <v>0.633124447702449</v>
      </c>
      <c r="AA9" s="81">
        <v>1.69345893606468</v>
      </c>
      <c r="AB9" s="81">
        <v>0</v>
      </c>
      <c r="AC9" s="105">
        <v>2.32658338376713</v>
      </c>
      <c r="AD9" s="104">
        <v>0.568773566665661</v>
      </c>
      <c r="AE9" s="81">
        <v>1.1074161927283</v>
      </c>
      <c r="AF9" s="81">
        <v>0</v>
      </c>
      <c r="AG9" s="105">
        <v>1.67618975939396</v>
      </c>
      <c r="AH9" s="104">
        <v>0.555158908447249</v>
      </c>
      <c r="AI9" s="81">
        <v>1.12648267001316</v>
      </c>
      <c r="AJ9" s="81">
        <v>0</v>
      </c>
      <c r="AK9" s="105">
        <v>1.68164157846041</v>
      </c>
      <c r="AL9" s="104">
        <v>0.576368941027271</v>
      </c>
      <c r="AM9" s="81">
        <v>1.18113620900404</v>
      </c>
      <c r="AN9" s="81">
        <v>0</v>
      </c>
      <c r="AO9" s="105">
        <v>1.75750515003131</v>
      </c>
      <c r="AP9" s="104">
        <v>0.495644101649734</v>
      </c>
      <c r="AQ9" s="81">
        <v>0.940668341400643</v>
      </c>
      <c r="AR9" s="81">
        <v>0</v>
      </c>
      <c r="AS9" s="105">
        <v>1.43631244305038</v>
      </c>
      <c r="AT9" s="104">
        <v>0.495061142909778</v>
      </c>
      <c r="AU9" s="81">
        <v>0.948523870056022</v>
      </c>
      <c r="AV9" s="81">
        <v>0</v>
      </c>
      <c r="AW9" s="105">
        <v>1.4435850129658</v>
      </c>
      <c r="AX9" s="104">
        <v>0.61794617145251</v>
      </c>
      <c r="AY9" s="81">
        <v>0.938149702540372</v>
      </c>
      <c r="AZ9" s="81">
        <v>0</v>
      </c>
      <c r="BA9" s="105">
        <v>1.55609587399288</v>
      </c>
    </row>
    <row r="10" ht="14.25" customHeight="1">
      <c r="A10" t="s" s="103">
        <v>50</v>
      </c>
      <c r="B10" s="104">
        <v>11.1731682719693</v>
      </c>
      <c r="C10" s="81">
        <v>6.72104971268534</v>
      </c>
      <c r="D10" s="81">
        <v>0</v>
      </c>
      <c r="E10" s="105">
        <v>17.8942179846546</v>
      </c>
      <c r="F10" s="104">
        <v>11.6957508433131</v>
      </c>
      <c r="G10" s="81">
        <v>7.94214461045235</v>
      </c>
      <c r="H10" s="81">
        <v>0</v>
      </c>
      <c r="I10" s="105">
        <v>19.6378954537654</v>
      </c>
      <c r="J10" s="104">
        <v>13.909275233098</v>
      </c>
      <c r="K10" s="81">
        <v>8.030021456144119</v>
      </c>
      <c r="L10" s="81">
        <v>0</v>
      </c>
      <c r="M10" s="105">
        <v>21.9392966892421</v>
      </c>
      <c r="N10" s="104">
        <v>14.6253887771074</v>
      </c>
      <c r="O10" s="81">
        <v>8.87227609816661</v>
      </c>
      <c r="P10" s="81">
        <v>0</v>
      </c>
      <c r="Q10" s="105">
        <v>23.497664875274</v>
      </c>
      <c r="R10" s="104">
        <v>13.7354696362467</v>
      </c>
      <c r="S10" s="81">
        <v>9.51265709853091</v>
      </c>
      <c r="T10" s="81">
        <v>0</v>
      </c>
      <c r="U10" s="105">
        <v>23.2481267347776</v>
      </c>
      <c r="V10" s="104">
        <v>13.2953130720914</v>
      </c>
      <c r="W10" s="81">
        <v>9.77785091656907</v>
      </c>
      <c r="X10" s="81">
        <v>0</v>
      </c>
      <c r="Y10" s="105">
        <v>23.0731639886605</v>
      </c>
      <c r="Z10" s="104">
        <v>13.0961838449878</v>
      </c>
      <c r="AA10" s="81">
        <v>10.0474019215357</v>
      </c>
      <c r="AB10" s="81">
        <v>0</v>
      </c>
      <c r="AC10" s="105">
        <v>23.1435857665235</v>
      </c>
      <c r="AD10" s="104">
        <v>12.6447715433093</v>
      </c>
      <c r="AE10" s="81">
        <v>10.193359813350</v>
      </c>
      <c r="AF10" s="81">
        <v>0</v>
      </c>
      <c r="AG10" s="105">
        <v>22.8381313566593</v>
      </c>
      <c r="AH10" s="104">
        <v>11.7372948303844</v>
      </c>
      <c r="AI10" s="81">
        <v>9.15084984703496</v>
      </c>
      <c r="AJ10" s="81">
        <v>0</v>
      </c>
      <c r="AK10" s="105">
        <v>20.8881446774193</v>
      </c>
      <c r="AL10" s="104">
        <v>11.9149661075158</v>
      </c>
      <c r="AM10" s="81">
        <v>7.68947271497512</v>
      </c>
      <c r="AN10" s="81">
        <v>0</v>
      </c>
      <c r="AO10" s="105">
        <v>19.6044388224909</v>
      </c>
      <c r="AP10" s="104">
        <v>11.120342307455</v>
      </c>
      <c r="AQ10" s="81">
        <v>7.14358936839752</v>
      </c>
      <c r="AR10" s="81">
        <v>0</v>
      </c>
      <c r="AS10" s="105">
        <v>18.2639316758525</v>
      </c>
      <c r="AT10" s="104">
        <v>10.9537380473631</v>
      </c>
      <c r="AU10" s="81">
        <v>6.68787587703833</v>
      </c>
      <c r="AV10" s="81">
        <v>0</v>
      </c>
      <c r="AW10" s="105">
        <v>17.6416139244014</v>
      </c>
      <c r="AX10" s="104">
        <v>10.3443830800647</v>
      </c>
      <c r="AY10" s="81">
        <v>6.19246615099923</v>
      </c>
      <c r="AZ10" s="81">
        <v>0</v>
      </c>
      <c r="BA10" s="105">
        <v>16.5368492310639</v>
      </c>
    </row>
    <row r="11" ht="14.25" customHeight="1">
      <c r="A11" t="s" s="103">
        <v>51</v>
      </c>
      <c r="B11" s="104">
        <v>14.0658763747905</v>
      </c>
      <c r="C11" s="81">
        <v>7.09306954040836</v>
      </c>
      <c r="D11" s="81">
        <v>1.34898115446948</v>
      </c>
      <c r="E11" s="105">
        <v>22.5079270696683</v>
      </c>
      <c r="F11" s="104">
        <v>14.2367832292853</v>
      </c>
      <c r="G11" s="81">
        <v>7.09160332224324</v>
      </c>
      <c r="H11" s="81">
        <v>1.31648154796279</v>
      </c>
      <c r="I11" s="105">
        <v>22.6448680994913</v>
      </c>
      <c r="J11" s="104">
        <v>14.6676772422531</v>
      </c>
      <c r="K11" s="81">
        <v>7.2374746184045</v>
      </c>
      <c r="L11" s="81">
        <v>1.33243869990182</v>
      </c>
      <c r="M11" s="105">
        <v>23.2375905605594</v>
      </c>
      <c r="N11" s="104">
        <v>14.4182185198947</v>
      </c>
      <c r="O11" s="81">
        <v>8.194306522312591</v>
      </c>
      <c r="P11" s="81">
        <v>1.3494352851105</v>
      </c>
      <c r="Q11" s="105">
        <v>23.9619603273178</v>
      </c>
      <c r="R11" s="104">
        <v>13.6776529556122</v>
      </c>
      <c r="S11" s="81">
        <v>8.18971204274524</v>
      </c>
      <c r="T11" s="81">
        <v>1.218702151938</v>
      </c>
      <c r="U11" s="105">
        <v>23.0860671502954</v>
      </c>
      <c r="V11" s="104">
        <v>13.0857214969349</v>
      </c>
      <c r="W11" s="81">
        <v>7.75096447482938</v>
      </c>
      <c r="X11" s="81">
        <v>1.19195631753528</v>
      </c>
      <c r="Y11" s="105">
        <v>22.0286422892995</v>
      </c>
      <c r="Z11" s="104">
        <v>13.1773723021771</v>
      </c>
      <c r="AA11" s="81">
        <v>7.79878167737058</v>
      </c>
      <c r="AB11" s="81">
        <v>1.20575253705242</v>
      </c>
      <c r="AC11" s="105">
        <v>22.1819065166001</v>
      </c>
      <c r="AD11" s="104">
        <v>12.1651045892477</v>
      </c>
      <c r="AE11" s="81">
        <v>7.4079107426676</v>
      </c>
      <c r="AF11" s="81">
        <v>1.20231192302219</v>
      </c>
      <c r="AG11" s="105">
        <v>20.7753272549375</v>
      </c>
      <c r="AH11" s="104">
        <v>11.5860200127905</v>
      </c>
      <c r="AI11" s="81">
        <v>7.07805996669149</v>
      </c>
      <c r="AJ11" s="81">
        <v>1.19608729538895</v>
      </c>
      <c r="AK11" s="105">
        <v>19.8601672748709</v>
      </c>
      <c r="AL11" s="104">
        <v>12.3702713105002</v>
      </c>
      <c r="AM11" s="81">
        <v>6.13168393495119</v>
      </c>
      <c r="AN11" s="81">
        <v>1.44996977725135</v>
      </c>
      <c r="AO11" s="105">
        <v>19.9519250227027</v>
      </c>
      <c r="AP11" s="104">
        <v>11.412498986397</v>
      </c>
      <c r="AQ11" s="81">
        <v>6.11180044329952</v>
      </c>
      <c r="AR11" s="81">
        <v>1.20703357994612</v>
      </c>
      <c r="AS11" s="105">
        <v>18.7313330096427</v>
      </c>
      <c r="AT11" s="104">
        <v>11.2828298416613</v>
      </c>
      <c r="AU11" s="81">
        <v>5.91343424439172</v>
      </c>
      <c r="AV11" s="81">
        <v>1.37425782750662</v>
      </c>
      <c r="AW11" s="105">
        <v>18.5705219135597</v>
      </c>
      <c r="AX11" s="104">
        <v>11.059195381995</v>
      </c>
      <c r="AY11" s="81">
        <v>6.40921088697067</v>
      </c>
      <c r="AZ11" s="81">
        <v>1.31321627172362</v>
      </c>
      <c r="BA11" s="105">
        <v>18.7816225406893</v>
      </c>
    </row>
    <row r="12" ht="14.25" customHeight="1">
      <c r="A12" t="s" s="103">
        <v>52</v>
      </c>
      <c r="B12" s="104">
        <v>11.3236199283757</v>
      </c>
      <c r="C12" s="81">
        <v>4.49325791792592</v>
      </c>
      <c r="D12" s="81">
        <v>0</v>
      </c>
      <c r="E12" s="105">
        <v>15.8168778463016</v>
      </c>
      <c r="F12" s="104">
        <v>12.9382380750585</v>
      </c>
      <c r="G12" s="81">
        <v>4.43120053893889</v>
      </c>
      <c r="H12" s="81">
        <v>0</v>
      </c>
      <c r="I12" s="105">
        <v>17.3694386139974</v>
      </c>
      <c r="J12" s="104">
        <v>12.7275031165403</v>
      </c>
      <c r="K12" s="81">
        <v>5.13543340942981</v>
      </c>
      <c r="L12" s="81">
        <v>0</v>
      </c>
      <c r="M12" s="105">
        <v>17.8629365259701</v>
      </c>
      <c r="N12" s="104">
        <v>12.7778206563817</v>
      </c>
      <c r="O12" s="81">
        <v>5.28046711763855</v>
      </c>
      <c r="P12" s="81">
        <v>0</v>
      </c>
      <c r="Q12" s="105">
        <v>18.0582877740203</v>
      </c>
      <c r="R12" s="104">
        <v>11.9106288426101</v>
      </c>
      <c r="S12" s="81">
        <v>5.49599211827101</v>
      </c>
      <c r="T12" s="81">
        <v>0</v>
      </c>
      <c r="U12" s="105">
        <v>17.4066209608811</v>
      </c>
      <c r="V12" s="104">
        <v>13.0256672406551</v>
      </c>
      <c r="W12" s="81">
        <v>4.97126649217341</v>
      </c>
      <c r="X12" s="81">
        <v>0</v>
      </c>
      <c r="Y12" s="105">
        <v>17.9969337328285</v>
      </c>
      <c r="Z12" s="104">
        <v>12.8914038908697</v>
      </c>
      <c r="AA12" s="81">
        <v>4.60826030593326</v>
      </c>
      <c r="AB12" s="81">
        <v>0</v>
      </c>
      <c r="AC12" s="105">
        <v>17.499664196803</v>
      </c>
      <c r="AD12" s="104">
        <v>13.4819091750976</v>
      </c>
      <c r="AE12" s="81">
        <v>4.70021272909598</v>
      </c>
      <c r="AF12" s="81">
        <v>0</v>
      </c>
      <c r="AG12" s="105">
        <v>18.1821219041936</v>
      </c>
      <c r="AH12" s="104">
        <v>10.5309911340992</v>
      </c>
      <c r="AI12" s="81">
        <v>4.67708436727575</v>
      </c>
      <c r="AJ12" s="81">
        <v>0</v>
      </c>
      <c r="AK12" s="105">
        <v>15.2080755013749</v>
      </c>
      <c r="AL12" s="104">
        <v>8.68853485912007</v>
      </c>
      <c r="AM12" s="81">
        <v>3.71860478430827</v>
      </c>
      <c r="AN12" s="81">
        <v>0</v>
      </c>
      <c r="AO12" s="105">
        <v>12.4071396434284</v>
      </c>
      <c r="AP12" s="104">
        <v>10.8722651736353</v>
      </c>
      <c r="AQ12" s="81">
        <v>3.84455748584575</v>
      </c>
      <c r="AR12" s="81">
        <v>0</v>
      </c>
      <c r="AS12" s="105">
        <v>14.7168226594811</v>
      </c>
      <c r="AT12" s="104">
        <v>11.1233692460329</v>
      </c>
      <c r="AU12" s="81">
        <v>3.79485912710876</v>
      </c>
      <c r="AV12" s="81">
        <v>0</v>
      </c>
      <c r="AW12" s="105">
        <v>14.9182283731416</v>
      </c>
      <c r="AX12" s="104">
        <v>10.0407048711787</v>
      </c>
      <c r="AY12" s="81">
        <v>3.68200012951428</v>
      </c>
      <c r="AZ12" s="81">
        <v>0</v>
      </c>
      <c r="BA12" s="105">
        <v>13.722705000693</v>
      </c>
    </row>
    <row r="13" ht="14.25" customHeight="1">
      <c r="A13" t="s" s="103">
        <v>53</v>
      </c>
      <c r="B13" s="104">
        <v>2.73862920833889</v>
      </c>
      <c r="C13" s="81">
        <v>1.84156121542171</v>
      </c>
      <c r="D13" s="81">
        <v>2.84948557247199</v>
      </c>
      <c r="E13" s="105">
        <v>7.42967599623259</v>
      </c>
      <c r="F13" s="104">
        <v>2.9060132545657</v>
      </c>
      <c r="G13" s="81">
        <v>1.93381205231657</v>
      </c>
      <c r="H13" s="81">
        <v>1.95923663381639</v>
      </c>
      <c r="I13" s="105">
        <v>6.79906194069866</v>
      </c>
      <c r="J13" s="104">
        <v>2.81846236709112</v>
      </c>
      <c r="K13" s="81">
        <v>1.8788014608519</v>
      </c>
      <c r="L13" s="81">
        <v>1.87700374270229</v>
      </c>
      <c r="M13" s="105">
        <v>6.57426757064532</v>
      </c>
      <c r="N13" s="104">
        <v>2.72091883966847</v>
      </c>
      <c r="O13" s="81">
        <v>2.05952924023024</v>
      </c>
      <c r="P13" s="81">
        <v>1.98863860654082</v>
      </c>
      <c r="Q13" s="105">
        <v>6.76908668643954</v>
      </c>
      <c r="R13" s="104">
        <v>2.40058896780187</v>
      </c>
      <c r="S13" s="81">
        <v>1.74545077016584</v>
      </c>
      <c r="T13" s="81">
        <v>2.41255355494933</v>
      </c>
      <c r="U13" s="105">
        <v>6.55859329291704</v>
      </c>
      <c r="V13" s="104">
        <v>2.55066296489615</v>
      </c>
      <c r="W13" s="81">
        <v>1.69952270251279</v>
      </c>
      <c r="X13" s="81">
        <v>1.86527572936159</v>
      </c>
      <c r="Y13" s="105">
        <v>6.11546139677054</v>
      </c>
      <c r="Z13" s="104">
        <v>2.62353702824743</v>
      </c>
      <c r="AA13" s="81">
        <v>1.73981813598254</v>
      </c>
      <c r="AB13" s="81">
        <v>1.84345712595291</v>
      </c>
      <c r="AC13" s="105">
        <v>6.20681229018288</v>
      </c>
      <c r="AD13" s="104">
        <v>2.36737091343109</v>
      </c>
      <c r="AE13" s="81">
        <v>1.67627163724071</v>
      </c>
      <c r="AF13" s="81">
        <v>2.02339782026403</v>
      </c>
      <c r="AG13" s="105">
        <v>6.06704037093582</v>
      </c>
      <c r="AH13" s="104">
        <v>2.29607069623025</v>
      </c>
      <c r="AI13" s="81">
        <v>1.77826116161985</v>
      </c>
      <c r="AJ13" s="81">
        <v>1.78763680587578</v>
      </c>
      <c r="AK13" s="105">
        <v>5.86196866372588</v>
      </c>
      <c r="AL13" s="104">
        <v>2.11495877656412</v>
      </c>
      <c r="AM13" s="81">
        <v>1.49322765187851</v>
      </c>
      <c r="AN13" s="81">
        <v>1.43786700864424</v>
      </c>
      <c r="AO13" s="105">
        <v>5.04605343708686</v>
      </c>
      <c r="AP13" s="104">
        <v>2.48872998426811</v>
      </c>
      <c r="AQ13" s="81">
        <v>1.60558013218485</v>
      </c>
      <c r="AR13" s="81">
        <v>1.20133255264628</v>
      </c>
      <c r="AS13" s="105">
        <v>5.29564266909924</v>
      </c>
      <c r="AT13" s="104">
        <v>2.4499935291492</v>
      </c>
      <c r="AU13" s="81">
        <v>1.44670793428318</v>
      </c>
      <c r="AV13" s="81">
        <v>1.35850782941085</v>
      </c>
      <c r="AW13" s="105">
        <v>5.25520929284323</v>
      </c>
      <c r="AX13" s="104">
        <v>2.57100154007556</v>
      </c>
      <c r="AY13" s="81">
        <v>1.55477821654784</v>
      </c>
      <c r="AZ13" s="81">
        <v>1.32875620452765</v>
      </c>
      <c r="BA13" s="105">
        <v>5.45453596115105</v>
      </c>
    </row>
    <row r="14" ht="14.25" customHeight="1">
      <c r="A14" t="s" s="106">
        <v>54</v>
      </c>
      <c r="B14" s="104">
        <v>0</v>
      </c>
      <c r="C14" s="81">
        <v>0</v>
      </c>
      <c r="D14" s="81">
        <v>0</v>
      </c>
      <c r="E14" s="105">
        <v>0</v>
      </c>
      <c r="F14" s="104">
        <v>0</v>
      </c>
      <c r="G14" s="81">
        <v>0</v>
      </c>
      <c r="H14" s="81">
        <v>0</v>
      </c>
      <c r="I14" s="105">
        <v>0</v>
      </c>
      <c r="J14" s="104">
        <v>0</v>
      </c>
      <c r="K14" s="81">
        <v>0</v>
      </c>
      <c r="L14" s="81">
        <v>0</v>
      </c>
      <c r="M14" s="105">
        <v>0</v>
      </c>
      <c r="N14" s="104">
        <v>0</v>
      </c>
      <c r="O14" s="81">
        <v>0</v>
      </c>
      <c r="P14" s="81">
        <v>0</v>
      </c>
      <c r="Q14" s="105">
        <v>0</v>
      </c>
      <c r="R14" s="104">
        <v>0</v>
      </c>
      <c r="S14" s="81">
        <v>0</v>
      </c>
      <c r="T14" s="81">
        <v>0</v>
      </c>
      <c r="U14" s="105">
        <v>0</v>
      </c>
      <c r="V14" s="104">
        <v>0</v>
      </c>
      <c r="W14" s="81">
        <v>0</v>
      </c>
      <c r="X14" s="81">
        <v>0</v>
      </c>
      <c r="Y14" s="105">
        <v>0</v>
      </c>
      <c r="Z14" s="104">
        <v>0</v>
      </c>
      <c r="AA14" s="81">
        <v>0</v>
      </c>
      <c r="AB14" s="81">
        <v>0</v>
      </c>
      <c r="AC14" s="105">
        <v>0</v>
      </c>
      <c r="AD14" s="104">
        <v>0</v>
      </c>
      <c r="AE14" s="81">
        <v>0</v>
      </c>
      <c r="AF14" s="81">
        <v>0</v>
      </c>
      <c r="AG14" s="105">
        <v>0</v>
      </c>
      <c r="AH14" s="104">
        <v>0</v>
      </c>
      <c r="AI14" s="81">
        <v>0</v>
      </c>
      <c r="AJ14" s="81">
        <v>0</v>
      </c>
      <c r="AK14" s="105">
        <v>0</v>
      </c>
      <c r="AL14" s="104">
        <v>0</v>
      </c>
      <c r="AM14" s="81">
        <v>0</v>
      </c>
      <c r="AN14" s="81">
        <v>0</v>
      </c>
      <c r="AO14" s="105">
        <v>0</v>
      </c>
      <c r="AP14" s="104">
        <v>0</v>
      </c>
      <c r="AQ14" s="81">
        <v>0</v>
      </c>
      <c r="AR14" s="81">
        <v>0</v>
      </c>
      <c r="AS14" s="105">
        <v>0</v>
      </c>
      <c r="AT14" s="104">
        <v>0</v>
      </c>
      <c r="AU14" s="81">
        <v>0</v>
      </c>
      <c r="AV14" s="81">
        <v>0</v>
      </c>
      <c r="AW14" s="105">
        <v>0</v>
      </c>
      <c r="AX14" s="104">
        <v>0</v>
      </c>
      <c r="AY14" s="81">
        <v>0</v>
      </c>
      <c r="AZ14" s="81">
        <v>0</v>
      </c>
      <c r="BA14" s="105">
        <v>0</v>
      </c>
    </row>
    <row r="15" ht="14.25" customHeight="1">
      <c r="A15" t="s" s="106">
        <v>55</v>
      </c>
      <c r="B15" s="104">
        <v>2.34820034172786</v>
      </c>
      <c r="C15" s="81">
        <v>5.39314255739613</v>
      </c>
      <c r="D15" s="81">
        <v>0</v>
      </c>
      <c r="E15" s="105">
        <v>7.74134289912399</v>
      </c>
      <c r="F15" s="104">
        <v>2.47242684041124</v>
      </c>
      <c r="G15" s="81">
        <v>5.77929839177873</v>
      </c>
      <c r="H15" s="81">
        <v>0</v>
      </c>
      <c r="I15" s="105">
        <v>8.251725232189971</v>
      </c>
      <c r="J15" s="104">
        <v>2.38460475482798</v>
      </c>
      <c r="K15" s="81">
        <v>5.69561274340023</v>
      </c>
      <c r="L15" s="81">
        <v>0</v>
      </c>
      <c r="M15" s="105">
        <v>8.08021749822821</v>
      </c>
      <c r="N15" s="104">
        <v>2.66463288216142</v>
      </c>
      <c r="O15" s="81">
        <v>6.37380179983014</v>
      </c>
      <c r="P15" s="81">
        <v>0</v>
      </c>
      <c r="Q15" s="105">
        <v>9.038434681991561</v>
      </c>
      <c r="R15" s="104">
        <v>2.69143090978159</v>
      </c>
      <c r="S15" s="81">
        <v>6.35910214077723</v>
      </c>
      <c r="T15" s="81">
        <v>0</v>
      </c>
      <c r="U15" s="105">
        <v>9.050533050558821</v>
      </c>
      <c r="V15" s="104">
        <v>2.71365150060305</v>
      </c>
      <c r="W15" s="81">
        <v>5.64716353535684</v>
      </c>
      <c r="X15" s="81">
        <v>0</v>
      </c>
      <c r="Y15" s="105">
        <v>8.36081503595989</v>
      </c>
      <c r="Z15" s="104">
        <v>2.7775799124603</v>
      </c>
      <c r="AA15" s="81">
        <v>5.33787310559487</v>
      </c>
      <c r="AB15" s="81">
        <v>0</v>
      </c>
      <c r="AC15" s="105">
        <v>8.11545301805517</v>
      </c>
      <c r="AD15" s="104">
        <v>2.68634279640982</v>
      </c>
      <c r="AE15" s="81">
        <v>4.77767804095319</v>
      </c>
      <c r="AF15" s="81">
        <v>0</v>
      </c>
      <c r="AG15" s="105">
        <v>7.46402083736301</v>
      </c>
      <c r="AH15" s="104">
        <v>2.73466617884755</v>
      </c>
      <c r="AI15" s="81">
        <v>4.49585750593946</v>
      </c>
      <c r="AJ15" s="81">
        <v>0</v>
      </c>
      <c r="AK15" s="105">
        <v>7.23052368478701</v>
      </c>
      <c r="AL15" s="104">
        <v>2.32042995666151</v>
      </c>
      <c r="AM15" s="81">
        <v>4.26065084140327</v>
      </c>
      <c r="AN15" s="81">
        <v>0</v>
      </c>
      <c r="AO15" s="105">
        <v>6.58108079806477</v>
      </c>
      <c r="AP15" s="104">
        <v>2.68426554956762</v>
      </c>
      <c r="AQ15" s="81">
        <v>3.82816558591548</v>
      </c>
      <c r="AR15" s="81">
        <v>0</v>
      </c>
      <c r="AS15" s="105">
        <v>6.51243113548311</v>
      </c>
      <c r="AT15" s="104">
        <v>3.23919503838824</v>
      </c>
      <c r="AU15" s="81">
        <v>3.70184455900617</v>
      </c>
      <c r="AV15" s="81">
        <v>0</v>
      </c>
      <c r="AW15" s="105">
        <v>6.94103959739441</v>
      </c>
      <c r="AX15" s="104">
        <v>2.87668177605477</v>
      </c>
      <c r="AY15" s="81">
        <v>3.68958132563595</v>
      </c>
      <c r="AZ15" s="81">
        <v>0</v>
      </c>
      <c r="BA15" s="105">
        <v>6.56626310169072</v>
      </c>
    </row>
    <row r="16" ht="14.25" customHeight="1">
      <c r="A16" t="s" s="106">
        <v>56</v>
      </c>
      <c r="B16" s="104">
        <v>13.417157073069</v>
      </c>
      <c r="C16" s="81">
        <v>22.4361001479008</v>
      </c>
      <c r="D16" s="81">
        <v>0.435988073911484</v>
      </c>
      <c r="E16" s="105">
        <v>36.2892452948813</v>
      </c>
      <c r="F16" s="104">
        <v>14.1421699140894</v>
      </c>
      <c r="G16" s="81">
        <v>20.166354962541</v>
      </c>
      <c r="H16" s="81">
        <v>0.461886246622582</v>
      </c>
      <c r="I16" s="105">
        <v>34.770411123253</v>
      </c>
      <c r="J16" s="104">
        <v>14.5068951655794</v>
      </c>
      <c r="K16" s="81">
        <v>20.6865472588637</v>
      </c>
      <c r="L16" s="81">
        <v>0.463011700872463</v>
      </c>
      <c r="M16" s="105">
        <v>35.6564541253155</v>
      </c>
      <c r="N16" s="104">
        <v>13.1486591824146</v>
      </c>
      <c r="O16" s="81">
        <v>21.8453543836917</v>
      </c>
      <c r="P16" s="81">
        <v>0.48721589684339</v>
      </c>
      <c r="Q16" s="105">
        <v>35.4812294629497</v>
      </c>
      <c r="R16" s="104">
        <v>12.0607278335895</v>
      </c>
      <c r="S16" s="81">
        <v>21.7809187078483</v>
      </c>
      <c r="T16" s="81">
        <v>0.490783752197908</v>
      </c>
      <c r="U16" s="105">
        <v>34.3324302936357</v>
      </c>
      <c r="V16" s="104">
        <v>11.1621357847738</v>
      </c>
      <c r="W16" s="81">
        <v>20.5622380244005</v>
      </c>
      <c r="X16" s="81">
        <v>0.505779139693155</v>
      </c>
      <c r="Y16" s="105">
        <v>32.2301529488675</v>
      </c>
      <c r="Z16" s="104">
        <v>11.6589414220295</v>
      </c>
      <c r="AA16" s="81">
        <v>20.5626946573011</v>
      </c>
      <c r="AB16" s="81">
        <v>0.506387607935039</v>
      </c>
      <c r="AC16" s="105">
        <v>32.7280236872656</v>
      </c>
      <c r="AD16" s="104">
        <v>10.9630147619223</v>
      </c>
      <c r="AE16" s="81">
        <v>20.7798842937056</v>
      </c>
      <c r="AF16" s="81">
        <v>0.509876408142659</v>
      </c>
      <c r="AG16" s="105">
        <v>32.2527754637705</v>
      </c>
      <c r="AH16" s="104">
        <v>10.0813245749707</v>
      </c>
      <c r="AI16" s="81">
        <v>20.9353867294636</v>
      </c>
      <c r="AJ16" s="81">
        <v>0.524434061306201</v>
      </c>
      <c r="AK16" s="105">
        <v>31.5411453657405</v>
      </c>
      <c r="AL16" s="104">
        <v>9.862710403835781</v>
      </c>
      <c r="AM16" s="81">
        <v>19.9651586067917</v>
      </c>
      <c r="AN16" s="81">
        <v>0.621871064965465</v>
      </c>
      <c r="AO16" s="105">
        <v>30.4497400755929</v>
      </c>
      <c r="AP16" s="104">
        <v>10.3612981555202</v>
      </c>
      <c r="AQ16" s="81">
        <v>20.0840805273347</v>
      </c>
      <c r="AR16" s="81">
        <v>0.573158678737748</v>
      </c>
      <c r="AS16" s="105">
        <v>31.0185373615927</v>
      </c>
      <c r="AT16" s="104">
        <v>10.8110877973551</v>
      </c>
      <c r="AU16" s="81">
        <v>18.8400545743022</v>
      </c>
      <c r="AV16" s="81">
        <v>0.5106781810039041</v>
      </c>
      <c r="AW16" s="105">
        <v>30.1618205526611</v>
      </c>
      <c r="AX16" s="104">
        <v>12.2479972755087</v>
      </c>
      <c r="AY16" s="81">
        <v>19.6571138804685</v>
      </c>
      <c r="AZ16" s="81">
        <v>0.509191231694004</v>
      </c>
      <c r="BA16" s="105">
        <v>32.4143023876713</v>
      </c>
    </row>
    <row r="17" ht="14.25" customHeight="1">
      <c r="A17" t="s" s="107">
        <v>57</v>
      </c>
      <c r="B17" s="108">
        <v>6.30163171968162</v>
      </c>
      <c r="C17" s="109">
        <v>4.75091816148917</v>
      </c>
      <c r="D17" s="109">
        <v>1.05760523248272</v>
      </c>
      <c r="E17" s="110">
        <v>12.1101551136535</v>
      </c>
      <c r="F17" s="108">
        <v>6.67164626224711</v>
      </c>
      <c r="G17" s="109">
        <v>4.8746667757981</v>
      </c>
      <c r="H17" s="109">
        <v>0.818577778096204</v>
      </c>
      <c r="I17" s="110">
        <v>12.3648908161414</v>
      </c>
      <c r="J17" s="108">
        <v>6.77400371072397</v>
      </c>
      <c r="K17" s="109">
        <v>4.9331539621631</v>
      </c>
      <c r="L17" s="109">
        <v>0.800407094712822</v>
      </c>
      <c r="M17" s="110">
        <v>12.5075647675999</v>
      </c>
      <c r="N17" s="108">
        <v>6.67616971992527</v>
      </c>
      <c r="O17" s="109">
        <v>5.3831783508014</v>
      </c>
      <c r="P17" s="109">
        <v>0.844840834047062</v>
      </c>
      <c r="Q17" s="110">
        <v>12.9041889047737</v>
      </c>
      <c r="R17" s="108">
        <v>6.25972467449187</v>
      </c>
      <c r="S17" s="109">
        <v>5.19401670314957</v>
      </c>
      <c r="T17" s="109">
        <v>0.938522881656942</v>
      </c>
      <c r="U17" s="110">
        <v>12.3922642592984</v>
      </c>
      <c r="V17" s="108">
        <v>6.24270296651565</v>
      </c>
      <c r="W17" s="109">
        <v>4.92596067792515</v>
      </c>
      <c r="X17" s="109">
        <v>0.779434680184632</v>
      </c>
      <c r="Y17" s="110">
        <v>11.9480983246254</v>
      </c>
      <c r="Z17" s="108">
        <v>6.30450870414568</v>
      </c>
      <c r="AA17" s="109">
        <v>4.94191436177559</v>
      </c>
      <c r="AB17" s="109">
        <v>0.774055007670264</v>
      </c>
      <c r="AC17" s="110">
        <v>12.0204780735915</v>
      </c>
      <c r="AD17" s="108">
        <v>5.94246330183864</v>
      </c>
      <c r="AE17" s="109">
        <v>4.73801557461131</v>
      </c>
      <c r="AF17" s="109">
        <v>0.821326290202517</v>
      </c>
      <c r="AG17" s="110">
        <v>11.5018051666525</v>
      </c>
      <c r="AH17" s="108">
        <v>5.54630985170286</v>
      </c>
      <c r="AI17" s="109">
        <v>4.62553178719798</v>
      </c>
      <c r="AJ17" s="109">
        <v>0.761958847337839</v>
      </c>
      <c r="AK17" s="110">
        <v>10.9338004862387</v>
      </c>
      <c r="AL17" s="108">
        <v>5.29879501062266</v>
      </c>
      <c r="AM17" s="109">
        <v>4.0130038600587</v>
      </c>
      <c r="AN17" s="109">
        <v>0.706121204376681</v>
      </c>
      <c r="AO17" s="110">
        <v>10.017920075058</v>
      </c>
      <c r="AP17" s="108">
        <v>5.50281745389277</v>
      </c>
      <c r="AQ17" s="109">
        <v>3.98468954175667</v>
      </c>
      <c r="AR17" s="109">
        <v>0.5799247489359181</v>
      </c>
      <c r="AS17" s="110">
        <v>10.0674317445854</v>
      </c>
      <c r="AT17" s="108">
        <v>5.65954163965502</v>
      </c>
      <c r="AU17" s="109">
        <v>3.86703021106107</v>
      </c>
      <c r="AV17" s="109">
        <v>0.656378487600958</v>
      </c>
      <c r="AW17" s="110">
        <v>10.182950338317</v>
      </c>
      <c r="AX17" s="108">
        <v>5.61986677038806</v>
      </c>
      <c r="AY17" s="109">
        <v>4.00944372323886</v>
      </c>
      <c r="AZ17" s="109">
        <v>0.6351201647660381</v>
      </c>
      <c r="BA17" s="110">
        <v>10.264430658393</v>
      </c>
    </row>
    <row r="18" ht="14" customHeight="1">
      <c r="A18" s="70"/>
      <c r="B18" s="111"/>
      <c r="C18" s="111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3"/>
    </row>
  </sheetData>
  <mergeCells count="14">
    <mergeCell ref="AX4:BA4"/>
    <mergeCell ref="AP4:AS4"/>
    <mergeCell ref="AL4:AO4"/>
    <mergeCell ref="AH4:AK4"/>
    <mergeCell ref="AD4:AG4"/>
    <mergeCell ref="AT4:AW4"/>
    <mergeCell ref="A4:A5"/>
    <mergeCell ref="R4:U4"/>
    <mergeCell ref="V4:Y4"/>
    <mergeCell ref="Z4:AC4"/>
    <mergeCell ref="B4:E4"/>
    <mergeCell ref="F4:I4"/>
    <mergeCell ref="J4:M4"/>
    <mergeCell ref="N4:Q4"/>
  </mergeCells>
  <pageMargins left="0.708661" right="0.708661" top="0.748031" bottom="0.748031" header="0.314961" footer="0.314961"/>
  <pageSetup firstPageNumber="1" fitToHeight="1" fitToWidth="1" scale="85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AA18"/>
  <sheetViews>
    <sheetView workbookViewId="0" showGridLines="0" defaultGridColor="1"/>
  </sheetViews>
  <sheetFormatPr defaultColWidth="8.66667" defaultRowHeight="12.75" customHeight="1" outlineLevelRow="0" outlineLevelCol="0"/>
  <cols>
    <col min="1" max="1" width="32.6719" style="114" customWidth="1"/>
    <col min="2" max="27" width="9.5" style="114" customWidth="1"/>
    <col min="28" max="16384" width="8.67188" style="114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75" customHeight="1">
      <c r="A2" t="s" s="5">
        <v>58</v>
      </c>
      <c r="B2" s="40"/>
      <c r="C2" s="40"/>
      <c r="D2" s="40"/>
      <c r="E2" s="4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 ht="15.75" customHeight="1">
      <c r="A3" s="41"/>
      <c r="B3" s="42"/>
      <c r="C3" s="42"/>
      <c r="D3" s="42"/>
      <c r="E3" s="4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</row>
    <row r="4" ht="14.65" customHeight="1">
      <c r="A4" t="s" s="12">
        <v>28</v>
      </c>
      <c r="B4" s="115">
        <v>2011</v>
      </c>
      <c r="C4" s="46"/>
      <c r="D4" s="115">
        <v>2012</v>
      </c>
      <c r="E4" s="46"/>
      <c r="F4" s="115">
        <v>2013</v>
      </c>
      <c r="G4" s="46"/>
      <c r="H4" s="115">
        <v>2014</v>
      </c>
      <c r="I4" s="46"/>
      <c r="J4" s="115">
        <v>2015</v>
      </c>
      <c r="K4" s="46"/>
      <c r="L4" s="115">
        <v>2016</v>
      </c>
      <c r="M4" s="46"/>
      <c r="N4" s="115">
        <v>2017</v>
      </c>
      <c r="O4" s="46"/>
      <c r="P4" s="115">
        <v>2018</v>
      </c>
      <c r="Q4" s="46"/>
      <c r="R4" s="115">
        <v>2019</v>
      </c>
      <c r="S4" s="46"/>
      <c r="T4" s="115">
        <v>2020</v>
      </c>
      <c r="U4" s="46"/>
      <c r="V4" s="115">
        <v>2021</v>
      </c>
      <c r="W4" s="46"/>
      <c r="X4" s="115">
        <v>2022</v>
      </c>
      <c r="Y4" s="46"/>
      <c r="Z4" s="115">
        <v>2023</v>
      </c>
      <c r="AA4" s="46"/>
    </row>
    <row r="5" ht="12.75" customHeight="1">
      <c r="A5" s="116"/>
      <c r="B5" t="s" s="117">
        <v>59</v>
      </c>
      <c r="C5" t="s" s="118">
        <v>60</v>
      </c>
      <c r="D5" t="s" s="117">
        <v>59</v>
      </c>
      <c r="E5" t="s" s="118">
        <v>60</v>
      </c>
      <c r="F5" t="s" s="117">
        <v>59</v>
      </c>
      <c r="G5" t="s" s="118">
        <v>60</v>
      </c>
      <c r="H5" t="s" s="117">
        <v>59</v>
      </c>
      <c r="I5" t="s" s="118">
        <v>60</v>
      </c>
      <c r="J5" t="s" s="117">
        <v>59</v>
      </c>
      <c r="K5" t="s" s="118">
        <v>60</v>
      </c>
      <c r="L5" t="s" s="117">
        <v>59</v>
      </c>
      <c r="M5" t="s" s="118">
        <v>60</v>
      </c>
      <c r="N5" t="s" s="117">
        <v>59</v>
      </c>
      <c r="O5" t="s" s="118">
        <v>60</v>
      </c>
      <c r="P5" t="s" s="117">
        <v>59</v>
      </c>
      <c r="Q5" t="s" s="118">
        <v>60</v>
      </c>
      <c r="R5" t="s" s="117">
        <v>59</v>
      </c>
      <c r="S5" t="s" s="118">
        <v>60</v>
      </c>
      <c r="T5" t="s" s="117">
        <v>59</v>
      </c>
      <c r="U5" t="s" s="118">
        <v>60</v>
      </c>
      <c r="V5" t="s" s="117">
        <v>59</v>
      </c>
      <c r="W5" t="s" s="118">
        <v>60</v>
      </c>
      <c r="X5" t="s" s="117">
        <v>59</v>
      </c>
      <c r="Y5" t="s" s="118">
        <v>60</v>
      </c>
      <c r="Z5" t="s" s="117">
        <v>59</v>
      </c>
      <c r="AA5" t="s" s="118">
        <v>60</v>
      </c>
    </row>
    <row r="6" ht="51.75" customHeight="1">
      <c r="A6" s="16"/>
      <c r="B6" s="119"/>
      <c r="C6" s="120"/>
      <c r="D6" s="119"/>
      <c r="E6" s="120"/>
      <c r="F6" s="119"/>
      <c r="G6" s="120"/>
      <c r="H6" s="119"/>
      <c r="I6" s="120"/>
      <c r="J6" s="119"/>
      <c r="K6" s="120"/>
      <c r="L6" s="119"/>
      <c r="M6" s="120"/>
      <c r="N6" s="119"/>
      <c r="O6" s="120"/>
      <c r="P6" s="119"/>
      <c r="Q6" s="120"/>
      <c r="R6" s="119"/>
      <c r="S6" s="120"/>
      <c r="T6" s="119"/>
      <c r="U6" s="120"/>
      <c r="V6" s="119"/>
      <c r="W6" s="120"/>
      <c r="X6" s="119"/>
      <c r="Y6" s="120"/>
      <c r="Z6" s="119"/>
      <c r="AA6" s="120"/>
    </row>
    <row r="7" ht="14.25" customHeight="1">
      <c r="A7" t="s" s="53">
        <v>46</v>
      </c>
      <c r="B7" s="121">
        <v>2.07067711978384</v>
      </c>
      <c r="C7" s="122">
        <v>2.93542233003231</v>
      </c>
      <c r="D7" s="121">
        <v>2.14174514462157</v>
      </c>
      <c r="E7" s="122">
        <v>3.15304118423444</v>
      </c>
      <c r="F7" s="121">
        <v>2.30788909641929</v>
      </c>
      <c r="G7" s="122">
        <v>3.30940047510561</v>
      </c>
      <c r="H7" s="121">
        <v>2.14754226583969</v>
      </c>
      <c r="I7" s="122">
        <v>3.10858611534191</v>
      </c>
      <c r="J7" s="121">
        <v>2.23859494427198</v>
      </c>
      <c r="K7" s="122">
        <v>3.07573018711216</v>
      </c>
      <c r="L7" s="121">
        <v>2.08029637826311</v>
      </c>
      <c r="M7" s="122">
        <v>3.1677352362728</v>
      </c>
      <c r="N7" s="121">
        <v>2.12826509091006</v>
      </c>
      <c r="O7" s="122">
        <v>3.13680744715661</v>
      </c>
      <c r="P7" s="121">
        <v>2.08679671261207</v>
      </c>
      <c r="Q7" s="122">
        <v>3.27511179349053</v>
      </c>
      <c r="R7" s="121">
        <v>2.04516696849761</v>
      </c>
      <c r="S7" s="122">
        <v>3.41708433114492</v>
      </c>
      <c r="T7" s="121">
        <v>2.15181490389424</v>
      </c>
      <c r="U7" s="122">
        <v>3.79226631772467</v>
      </c>
      <c r="V7" s="121">
        <v>2.0547474515633</v>
      </c>
      <c r="W7" s="122">
        <v>3.32546305976367</v>
      </c>
      <c r="X7" s="121">
        <v>2.10586986854813</v>
      </c>
      <c r="Y7" s="122">
        <v>3.17250171073571</v>
      </c>
      <c r="Z7" s="121">
        <v>2.07023329502065</v>
      </c>
      <c r="AA7" s="122">
        <v>3.01414130955369</v>
      </c>
    </row>
    <row r="8" ht="14.25" customHeight="1">
      <c r="A8" t="s" s="123">
        <v>47</v>
      </c>
      <c r="B8" s="124">
        <v>6.47489555328111</v>
      </c>
      <c r="C8" s="125">
        <v>5.91810687297566</v>
      </c>
      <c r="D8" s="124">
        <v>6.24442175225252</v>
      </c>
      <c r="E8" s="125">
        <v>6.50334796826363</v>
      </c>
      <c r="F8" s="124">
        <v>6.24178263015579</v>
      </c>
      <c r="G8" s="125">
        <v>6.33361849232714</v>
      </c>
      <c r="H8" s="124">
        <v>6.29367595980742</v>
      </c>
      <c r="I8" s="125">
        <v>6.32998401459833</v>
      </c>
      <c r="J8" s="124">
        <v>6.37778290737315</v>
      </c>
      <c r="K8" s="125">
        <v>6.35938612846798</v>
      </c>
      <c r="L8" s="124">
        <v>6.48065331016032</v>
      </c>
      <c r="M8" s="125">
        <v>6.28390729705048</v>
      </c>
      <c r="N8" s="124">
        <v>6.4423591564903</v>
      </c>
      <c r="O8" s="125">
        <v>6.51931170600897</v>
      </c>
      <c r="P8" s="124">
        <v>6.51641593180171</v>
      </c>
      <c r="Q8" s="125">
        <v>6.45650195331249</v>
      </c>
      <c r="R8" s="124">
        <v>6.5292624896743</v>
      </c>
      <c r="S8" s="125">
        <v>6.34043176393581</v>
      </c>
      <c r="T8" s="124">
        <v>6.23249474152379</v>
      </c>
      <c r="U8" s="125">
        <v>6.47932109304118</v>
      </c>
      <c r="V8" s="124">
        <v>6.45510903329094</v>
      </c>
      <c r="W8" s="125">
        <v>6.83278898478564</v>
      </c>
      <c r="X8" s="124">
        <v>6.36522196532905</v>
      </c>
      <c r="Y8" s="125">
        <v>6.52562748317051</v>
      </c>
      <c r="Z8" s="124">
        <v>6.61051682354395</v>
      </c>
      <c r="AA8" s="125">
        <v>6.36780781270518</v>
      </c>
    </row>
    <row r="9" ht="14.25" customHeight="1">
      <c r="A9" t="s" s="123">
        <v>48</v>
      </c>
      <c r="B9" s="124">
        <v>6.66892440919833</v>
      </c>
      <c r="C9" s="125">
        <v>2.35440422711655</v>
      </c>
      <c r="D9" s="124">
        <v>6.57275117827337</v>
      </c>
      <c r="E9" s="125">
        <v>2.89486411272642</v>
      </c>
      <c r="F9" s="124">
        <v>6.59328304774766</v>
      </c>
      <c r="G9" s="125">
        <v>2.852309075175</v>
      </c>
      <c r="H9" s="124">
        <v>6.75926426210663</v>
      </c>
      <c r="I9" s="125">
        <v>2.72591333201081</v>
      </c>
      <c r="J9" s="124">
        <v>6.84589116040815</v>
      </c>
      <c r="K9" s="125">
        <v>2.62435091861982</v>
      </c>
      <c r="L9" s="124">
        <v>7.07633475364935</v>
      </c>
      <c r="M9" s="125">
        <v>2.97040847782873</v>
      </c>
      <c r="N9" s="124">
        <v>7.21559944180278</v>
      </c>
      <c r="O9" s="125">
        <v>2.70976366042159</v>
      </c>
      <c r="P9" s="124">
        <v>7.35872332675592</v>
      </c>
      <c r="Q9" s="125">
        <v>2.66187449856577</v>
      </c>
      <c r="R9" s="124">
        <v>7.27178041359316</v>
      </c>
      <c r="S9" s="125">
        <v>2.61510961756095</v>
      </c>
      <c r="T9" s="124">
        <v>7.060658669962</v>
      </c>
      <c r="U9" s="125">
        <v>2.97780057222664</v>
      </c>
      <c r="V9" s="124">
        <v>7.55547364189192</v>
      </c>
      <c r="W9" s="125">
        <v>2.95563663149643</v>
      </c>
      <c r="X9" s="124">
        <v>7.42734180904586</v>
      </c>
      <c r="Y9" s="125">
        <v>2.90209465303157</v>
      </c>
      <c r="Z9" s="124">
        <v>7.70299342641124</v>
      </c>
      <c r="AA9" s="125">
        <v>3.22094296647798</v>
      </c>
    </row>
    <row r="10" ht="14.25" customHeight="1">
      <c r="A10" t="s" s="123">
        <v>49</v>
      </c>
      <c r="B10" s="124">
        <v>5.1331819596632</v>
      </c>
      <c r="C10" s="125">
        <v>0.8825708675919151</v>
      </c>
      <c r="D10" s="124">
        <v>5.3261453689685</v>
      </c>
      <c r="E10" s="125">
        <v>1.62714272904169</v>
      </c>
      <c r="F10" s="124">
        <v>5.39589141140248</v>
      </c>
      <c r="G10" s="125">
        <v>1.50810245068355</v>
      </c>
      <c r="H10" s="124">
        <v>5.23590819379791</v>
      </c>
      <c r="I10" s="125">
        <v>1.53628717669568</v>
      </c>
      <c r="J10" s="124">
        <v>5.29364928977709</v>
      </c>
      <c r="K10" s="125">
        <v>0.8503115410909809</v>
      </c>
      <c r="L10" s="124">
        <v>5.43333081388024</v>
      </c>
      <c r="M10" s="125">
        <v>1.04260414910401</v>
      </c>
      <c r="N10" s="124">
        <v>5.49311434809705</v>
      </c>
      <c r="O10" s="125">
        <v>1.06320135431992</v>
      </c>
      <c r="P10" s="124">
        <v>5.49341345284692</v>
      </c>
      <c r="Q10" s="125">
        <v>0.80057027921809</v>
      </c>
      <c r="R10" s="124">
        <v>5.51522980210321</v>
      </c>
      <c r="S10" s="125">
        <v>0.848253977347934</v>
      </c>
      <c r="T10" s="124">
        <v>5.6961967045256</v>
      </c>
      <c r="U10" s="125">
        <v>0.9993187177366371</v>
      </c>
      <c r="V10" s="124">
        <v>6.07985281350017</v>
      </c>
      <c r="W10" s="125">
        <v>0.8674077430564</v>
      </c>
      <c r="X10" s="124">
        <v>6.44403578460912</v>
      </c>
      <c r="Y10" s="125">
        <v>0.913541168137419</v>
      </c>
      <c r="Z10" s="124">
        <v>5.96943024520923</v>
      </c>
      <c r="AA10" s="125">
        <v>0.9049703859671</v>
      </c>
    </row>
    <row r="11" ht="14.25" customHeight="1">
      <c r="A11" t="s" s="123">
        <v>50</v>
      </c>
      <c r="B11" s="124">
        <v>5.50896189269259</v>
      </c>
      <c r="C11" s="125">
        <v>8.140157087323759</v>
      </c>
      <c r="D11" s="124">
        <v>5.18841318056054</v>
      </c>
      <c r="E11" s="125">
        <v>8.240227683836689</v>
      </c>
      <c r="F11" s="124">
        <v>4.87282971678101</v>
      </c>
      <c r="G11" s="125">
        <v>8.54734385621965</v>
      </c>
      <c r="H11" s="124">
        <v>4.42692576109851</v>
      </c>
      <c r="I11" s="125">
        <v>8.061135707919499</v>
      </c>
      <c r="J11" s="124">
        <v>4.2893499080296</v>
      </c>
      <c r="K11" s="125">
        <v>8.04690314740952</v>
      </c>
      <c r="L11" s="124">
        <v>4.25515450822872</v>
      </c>
      <c r="M11" s="125">
        <v>8.217197004739839</v>
      </c>
      <c r="N11" s="124">
        <v>4.22037005348173</v>
      </c>
      <c r="O11" s="125">
        <v>8.12567484431491</v>
      </c>
      <c r="P11" s="124">
        <v>4.2079524559729</v>
      </c>
      <c r="Q11" s="125">
        <v>8.35536418324291</v>
      </c>
      <c r="R11" s="124">
        <v>4.31291644654172</v>
      </c>
      <c r="S11" s="125">
        <v>8.23947929453904</v>
      </c>
      <c r="T11" s="124">
        <v>4.40833500335605</v>
      </c>
      <c r="U11" s="125">
        <v>8.62683403688847</v>
      </c>
      <c r="V11" s="124">
        <v>5.19029967386769</v>
      </c>
      <c r="W11" s="125">
        <v>9.416033902758141</v>
      </c>
      <c r="X11" s="124">
        <v>5.69628184499759</v>
      </c>
      <c r="Y11" s="125">
        <v>9.868613886477309</v>
      </c>
      <c r="Z11" s="124">
        <v>6.06295206991426</v>
      </c>
      <c r="AA11" s="125">
        <v>9.767918709973181</v>
      </c>
    </row>
    <row r="12" ht="14.25" customHeight="1">
      <c r="A12" t="s" s="123">
        <v>51</v>
      </c>
      <c r="B12" s="124">
        <v>20.1551919070005</v>
      </c>
      <c r="C12" s="125">
        <v>37.4604276543469</v>
      </c>
      <c r="D12" s="124">
        <v>20.0244421247374</v>
      </c>
      <c r="E12" s="125">
        <v>36.6724508467661</v>
      </c>
      <c r="F12" s="124">
        <v>19.9129709206609</v>
      </c>
      <c r="G12" s="125">
        <v>36.995967935926</v>
      </c>
      <c r="H12" s="124">
        <v>20.179479957054</v>
      </c>
      <c r="I12" s="125">
        <v>37.4715452265236</v>
      </c>
      <c r="J12" s="124">
        <v>20.3820743574513</v>
      </c>
      <c r="K12" s="125">
        <v>37.9706183981165</v>
      </c>
      <c r="L12" s="124">
        <v>20.7198614687534</v>
      </c>
      <c r="M12" s="125">
        <v>38.2010931093771</v>
      </c>
      <c r="N12" s="124">
        <v>21.0520571174786</v>
      </c>
      <c r="O12" s="125">
        <v>38.8482687712695</v>
      </c>
      <c r="P12" s="124">
        <v>21.0203595782158</v>
      </c>
      <c r="Q12" s="125">
        <v>37.9683747834682</v>
      </c>
      <c r="R12" s="124">
        <v>21.4323981227241</v>
      </c>
      <c r="S12" s="125">
        <v>38.9298316129561</v>
      </c>
      <c r="T12" s="124">
        <v>18.9955060572669</v>
      </c>
      <c r="U12" s="125">
        <v>37.8318962203029</v>
      </c>
      <c r="V12" s="124">
        <v>19.9146116665798</v>
      </c>
      <c r="W12" s="125">
        <v>37.052868333083</v>
      </c>
      <c r="X12" s="124">
        <v>20.7498204384298</v>
      </c>
      <c r="Y12" s="125">
        <v>37.8411935983155</v>
      </c>
      <c r="Z12" s="124">
        <v>20.6056860906135</v>
      </c>
      <c r="AA12" s="125">
        <v>37.7038173110349</v>
      </c>
    </row>
    <row r="13" ht="14.25" customHeight="1">
      <c r="A13" t="s" s="123">
        <v>52</v>
      </c>
      <c r="B13" s="124">
        <v>5.33052495453926</v>
      </c>
      <c r="C13" s="125">
        <v>6.96211248091716</v>
      </c>
      <c r="D13" s="124">
        <v>5.33807059721917</v>
      </c>
      <c r="E13" s="125">
        <v>7.49859347197346</v>
      </c>
      <c r="F13" s="124">
        <v>5.3232155087938</v>
      </c>
      <c r="G13" s="125">
        <v>7.60245999236907</v>
      </c>
      <c r="H13" s="124">
        <v>5.34306768236971</v>
      </c>
      <c r="I13" s="125">
        <v>7.47715757389493</v>
      </c>
      <c r="J13" s="124">
        <v>5.35345281644868</v>
      </c>
      <c r="K13" s="125">
        <v>7.51965274933216</v>
      </c>
      <c r="L13" s="124">
        <v>5.3350611122685</v>
      </c>
      <c r="M13" s="125">
        <v>8.03598519943519</v>
      </c>
      <c r="N13" s="124">
        <v>5.35583838107025</v>
      </c>
      <c r="O13" s="125">
        <v>7.79714189296589</v>
      </c>
      <c r="P13" s="124">
        <v>5.43540285938466</v>
      </c>
      <c r="Q13" s="125">
        <v>8.59231711507919</v>
      </c>
      <c r="R13" s="124">
        <v>5.18770018580275</v>
      </c>
      <c r="S13" s="125">
        <v>7.21569194567637</v>
      </c>
      <c r="T13" s="124">
        <v>5.71009724617467</v>
      </c>
      <c r="U13" s="125">
        <v>7.07192444939068</v>
      </c>
      <c r="V13" s="124">
        <v>5.60623316497109</v>
      </c>
      <c r="W13" s="125">
        <v>8.19533137842784</v>
      </c>
      <c r="X13" s="124">
        <v>5.67037231778127</v>
      </c>
      <c r="Y13" s="125">
        <v>8.307210227579491</v>
      </c>
      <c r="Z13" s="124">
        <v>5.9620951620351</v>
      </c>
      <c r="AA13" s="125">
        <v>7.97083402066414</v>
      </c>
    </row>
    <row r="14" ht="14.25" customHeight="1">
      <c r="A14" t="s" s="61">
        <v>53</v>
      </c>
      <c r="B14" s="126">
        <v>26.9522973908419</v>
      </c>
      <c r="C14" s="127">
        <v>16.5354477369405</v>
      </c>
      <c r="D14" s="126">
        <v>27.3726211644925</v>
      </c>
      <c r="E14" s="127">
        <v>15.0513376578881</v>
      </c>
      <c r="F14" s="126">
        <v>27.5059309173617</v>
      </c>
      <c r="G14" s="127">
        <v>14.4577584038465</v>
      </c>
      <c r="H14" s="126">
        <v>27.7887429694432</v>
      </c>
      <c r="I14" s="127">
        <v>14.5770037509108</v>
      </c>
      <c r="J14" s="126">
        <v>27.7839049482359</v>
      </c>
      <c r="K14" s="127">
        <v>14.7046035197172</v>
      </c>
      <c r="L14" s="126">
        <v>27.4640160519802</v>
      </c>
      <c r="M14" s="127">
        <v>14.0570595757494</v>
      </c>
      <c r="N14" s="126">
        <v>27.1287714465109</v>
      </c>
      <c r="O14" s="127">
        <v>14.0080278838241</v>
      </c>
      <c r="P14" s="126">
        <v>27.1179820515713</v>
      </c>
      <c r="Q14" s="127">
        <v>14.3043539254352</v>
      </c>
      <c r="R14" s="126">
        <v>27.1517393240361</v>
      </c>
      <c r="S14" s="127">
        <v>14.5569370214388</v>
      </c>
      <c r="T14" s="126">
        <v>28.4139760948299</v>
      </c>
      <c r="U14" s="127">
        <v>14.3121966097129</v>
      </c>
      <c r="V14" s="126">
        <v>26.6410058820714</v>
      </c>
      <c r="W14" s="127">
        <v>14.0136243991056</v>
      </c>
      <c r="X14" s="126">
        <v>26.0238390747767</v>
      </c>
      <c r="Y14" s="127">
        <v>13.4303631459943</v>
      </c>
      <c r="Z14" s="126">
        <v>26.0928311668919</v>
      </c>
      <c r="AA14" s="127">
        <v>13.8657749917849</v>
      </c>
    </row>
    <row r="15" ht="14.25" customHeight="1">
      <c r="A15" t="s" s="61">
        <v>54</v>
      </c>
      <c r="B15" s="126">
        <v>7.26060137998748</v>
      </c>
      <c r="C15" s="127">
        <v>0</v>
      </c>
      <c r="D15" s="126">
        <v>7.26807745993152</v>
      </c>
      <c r="E15" s="127">
        <v>0</v>
      </c>
      <c r="F15" s="126">
        <v>7.22626620713573</v>
      </c>
      <c r="G15" s="127">
        <v>0</v>
      </c>
      <c r="H15" s="126">
        <v>7.06756673549156</v>
      </c>
      <c r="I15" s="127">
        <v>0</v>
      </c>
      <c r="J15" s="126">
        <v>6.91104583241581</v>
      </c>
      <c r="K15" s="127">
        <v>0</v>
      </c>
      <c r="L15" s="126">
        <v>6.79055366856724</v>
      </c>
      <c r="M15" s="127">
        <v>0</v>
      </c>
      <c r="N15" s="126">
        <v>6.6559750128083</v>
      </c>
      <c r="O15" s="127">
        <v>0</v>
      </c>
      <c r="P15" s="126">
        <v>6.6205426189208</v>
      </c>
      <c r="Q15" s="127">
        <v>0</v>
      </c>
      <c r="R15" s="126">
        <v>6.5533239455107</v>
      </c>
      <c r="S15" s="127">
        <v>0</v>
      </c>
      <c r="T15" s="126">
        <v>6.98078496152063</v>
      </c>
      <c r="U15" s="127">
        <v>0</v>
      </c>
      <c r="V15" s="126">
        <v>6.49932564296817</v>
      </c>
      <c r="W15" s="127">
        <v>0</v>
      </c>
      <c r="X15" s="126">
        <v>6.10652399273996</v>
      </c>
      <c r="Y15" s="127">
        <v>0</v>
      </c>
      <c r="Z15" s="126">
        <v>5.83229899516122</v>
      </c>
      <c r="AA15" s="127">
        <v>0</v>
      </c>
    </row>
    <row r="16" ht="14.25" customHeight="1">
      <c r="A16" t="s" s="61">
        <v>55</v>
      </c>
      <c r="B16" s="126">
        <v>10.3818647745598</v>
      </c>
      <c r="C16" s="127">
        <v>6.63654382606477</v>
      </c>
      <c r="D16" s="126">
        <v>10.4822150949001</v>
      </c>
      <c r="E16" s="127">
        <v>6.99531925303502</v>
      </c>
      <c r="F16" s="126">
        <v>10.5613798103368</v>
      </c>
      <c r="G16" s="127">
        <v>6.82293056518733</v>
      </c>
      <c r="H16" s="126">
        <v>10.6704923798697</v>
      </c>
      <c r="I16" s="127">
        <v>7.47389464861777</v>
      </c>
      <c r="J16" s="126">
        <v>10.4848951094913</v>
      </c>
      <c r="K16" s="127">
        <v>7.65751018010219</v>
      </c>
      <c r="L16" s="126">
        <v>10.3741904573492</v>
      </c>
      <c r="M16" s="127">
        <v>7.25945545517899</v>
      </c>
      <c r="N16" s="126">
        <v>10.3359839498122</v>
      </c>
      <c r="O16" s="127">
        <v>6.97819101923715</v>
      </c>
      <c r="P16" s="126">
        <v>10.2412022713788</v>
      </c>
      <c r="Q16" s="127">
        <v>6.64596087706709</v>
      </c>
      <c r="R16" s="126">
        <v>10.1421953984037</v>
      </c>
      <c r="S16" s="127">
        <v>6.70703513715962</v>
      </c>
      <c r="T16" s="126">
        <v>10.790407460118</v>
      </c>
      <c r="U16" s="127">
        <v>7.08855159624202</v>
      </c>
      <c r="V16" s="126">
        <v>10.6008427190734</v>
      </c>
      <c r="W16" s="127">
        <v>6.85748460357667</v>
      </c>
      <c r="X16" s="126">
        <v>9.947344488625721</v>
      </c>
      <c r="Y16" s="127">
        <v>6.78044276860191</v>
      </c>
      <c r="Z16" s="126">
        <v>9.59270353531697</v>
      </c>
      <c r="AA16" s="127">
        <v>6.13655227120718</v>
      </c>
    </row>
    <row r="17" ht="14.25" customHeight="1">
      <c r="A17" t="s" s="128">
        <v>56</v>
      </c>
      <c r="B17" s="129">
        <v>4.06287865845202</v>
      </c>
      <c r="C17" s="130">
        <v>12.1748069166905</v>
      </c>
      <c r="D17" s="129">
        <v>4.04109693404278</v>
      </c>
      <c r="E17" s="130">
        <v>11.3636750922344</v>
      </c>
      <c r="F17" s="129">
        <v>4.05856073320483</v>
      </c>
      <c r="G17" s="130">
        <v>11.5701087531602</v>
      </c>
      <c r="H17" s="129">
        <v>4.08733383312163</v>
      </c>
      <c r="I17" s="130">
        <v>11.2384924534867</v>
      </c>
      <c r="J17" s="129">
        <v>4.039358726097</v>
      </c>
      <c r="K17" s="130">
        <v>11.1909332300315</v>
      </c>
      <c r="L17" s="129">
        <v>3.99054747689977</v>
      </c>
      <c r="M17" s="130">
        <v>10.7645544952635</v>
      </c>
      <c r="N17" s="129">
        <v>3.97166600153776</v>
      </c>
      <c r="O17" s="130">
        <v>10.8136114204814</v>
      </c>
      <c r="P17" s="129">
        <v>3.90120874053919</v>
      </c>
      <c r="Q17" s="130">
        <v>10.9395705911205</v>
      </c>
      <c r="R17" s="129">
        <v>3.85828690311266</v>
      </c>
      <c r="S17" s="130">
        <v>11.1301452982405</v>
      </c>
      <c r="T17" s="129">
        <v>3.55972815682826</v>
      </c>
      <c r="U17" s="130">
        <v>10.819890386734</v>
      </c>
      <c r="V17" s="129">
        <v>3.4024983102222</v>
      </c>
      <c r="W17" s="130">
        <v>10.4833609639466</v>
      </c>
      <c r="X17" s="129">
        <v>3.46334841511681</v>
      </c>
      <c r="Y17" s="130">
        <v>10.2584113579563</v>
      </c>
      <c r="Z17" s="129">
        <v>3.498259189882</v>
      </c>
      <c r="AA17" s="130">
        <v>11.0472402206318</v>
      </c>
    </row>
    <row r="18" ht="14" customHeight="1">
      <c r="A18" s="70"/>
      <c r="B18" s="71"/>
      <c r="C18" s="71"/>
      <c r="D18" s="71"/>
      <c r="E18" s="71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3"/>
    </row>
  </sheetData>
  <mergeCells count="40">
    <mergeCell ref="Z4:AA4"/>
    <mergeCell ref="Z5:Z6"/>
    <mergeCell ref="AA5:AA6"/>
    <mergeCell ref="X4:Y4"/>
    <mergeCell ref="X5:X6"/>
    <mergeCell ref="Y5:Y6"/>
    <mergeCell ref="V4:W4"/>
    <mergeCell ref="V5:V6"/>
    <mergeCell ref="W5:W6"/>
    <mergeCell ref="T4:U4"/>
    <mergeCell ref="T5:T6"/>
    <mergeCell ref="U5:U6"/>
    <mergeCell ref="R4:S4"/>
    <mergeCell ref="R5:R6"/>
    <mergeCell ref="S5:S6"/>
    <mergeCell ref="L5:L6"/>
    <mergeCell ref="J5:J6"/>
    <mergeCell ref="K5:K6"/>
    <mergeCell ref="P4:Q4"/>
    <mergeCell ref="P5:P6"/>
    <mergeCell ref="Q5:Q6"/>
    <mergeCell ref="J4:K4"/>
    <mergeCell ref="L4:M4"/>
    <mergeCell ref="N4:O4"/>
    <mergeCell ref="M5:M6"/>
    <mergeCell ref="N5:N6"/>
    <mergeCell ref="O5:O6"/>
    <mergeCell ref="A4:A6"/>
    <mergeCell ref="B4:C4"/>
    <mergeCell ref="D4:E4"/>
    <mergeCell ref="F4:G4"/>
    <mergeCell ref="H4:I4"/>
    <mergeCell ref="F5:F6"/>
    <mergeCell ref="G5:G6"/>
    <mergeCell ref="H5:H6"/>
    <mergeCell ref="I5:I6"/>
    <mergeCell ref="B5:B6"/>
    <mergeCell ref="C5:C6"/>
    <mergeCell ref="D5:D6"/>
    <mergeCell ref="E5:E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AK18"/>
  <sheetViews>
    <sheetView workbookViewId="0" showGridLines="0" defaultGridColor="1"/>
  </sheetViews>
  <sheetFormatPr defaultColWidth="8.66667" defaultRowHeight="12.75" customHeight="1" outlineLevelRow="0" outlineLevelCol="0"/>
  <cols>
    <col min="1" max="1" width="44.5" style="131" customWidth="1"/>
    <col min="2" max="16" width="9.67188" style="131" customWidth="1"/>
    <col min="17" max="37" width="8.67188" style="131" customWidth="1"/>
    <col min="38" max="16384" width="8.67188" style="131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</row>
    <row r="2" ht="15.75" customHeight="1">
      <c r="A2" t="s" s="5">
        <v>61</v>
      </c>
      <c r="B2" s="40"/>
      <c r="C2" s="40"/>
      <c r="D2" s="40"/>
      <c r="E2" s="40"/>
      <c r="F2" s="40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</row>
    <row r="3" ht="15.75" customHeight="1">
      <c r="A3" s="41"/>
      <c r="B3" s="42"/>
      <c r="C3" s="42"/>
      <c r="D3" s="42"/>
      <c r="E3" s="42"/>
      <c r="F3" s="42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</row>
    <row r="4" ht="14.65" customHeight="1">
      <c r="A4" t="s" s="43">
        <v>28</v>
      </c>
      <c r="B4" t="s" s="132">
        <v>62</v>
      </c>
      <c r="C4" s="133"/>
      <c r="D4" s="133"/>
      <c r="E4" t="s" s="132">
        <v>63</v>
      </c>
      <c r="F4" s="133"/>
      <c r="G4" s="133"/>
      <c r="H4" t="s" s="132">
        <v>64</v>
      </c>
      <c r="I4" s="133"/>
      <c r="J4" s="133"/>
      <c r="K4" t="s" s="132">
        <v>65</v>
      </c>
      <c r="L4" s="133"/>
      <c r="M4" s="133"/>
      <c r="N4" t="s" s="132">
        <v>66</v>
      </c>
      <c r="O4" s="133"/>
      <c r="P4" s="133"/>
      <c r="Q4" t="s" s="132">
        <v>67</v>
      </c>
      <c r="R4" s="133"/>
      <c r="S4" s="133"/>
      <c r="T4" t="s" s="132">
        <v>68</v>
      </c>
      <c r="U4" s="133"/>
      <c r="V4" s="133"/>
      <c r="W4" t="s" s="132">
        <v>69</v>
      </c>
      <c r="X4" s="133"/>
      <c r="Y4" s="133"/>
      <c r="Z4" t="s" s="132">
        <v>70</v>
      </c>
      <c r="AA4" s="133"/>
      <c r="AB4" s="133"/>
      <c r="AC4" t="s" s="132">
        <v>71</v>
      </c>
      <c r="AD4" s="133"/>
      <c r="AE4" s="133"/>
      <c r="AF4" t="s" s="132">
        <v>72</v>
      </c>
      <c r="AG4" s="133"/>
      <c r="AH4" s="133"/>
      <c r="AI4" t="s" s="132">
        <v>73</v>
      </c>
      <c r="AJ4" s="133"/>
      <c r="AK4" s="134"/>
    </row>
    <row r="5" ht="57" customHeight="1">
      <c r="A5" s="50"/>
      <c r="B5" t="s" s="98">
        <v>36</v>
      </c>
      <c r="C5" t="s" s="98">
        <v>74</v>
      </c>
      <c r="D5" t="s" s="98">
        <v>75</v>
      </c>
      <c r="E5" t="s" s="98">
        <v>36</v>
      </c>
      <c r="F5" t="s" s="98">
        <v>74</v>
      </c>
      <c r="G5" t="s" s="98">
        <v>75</v>
      </c>
      <c r="H5" t="s" s="98">
        <v>36</v>
      </c>
      <c r="I5" t="s" s="98">
        <v>74</v>
      </c>
      <c r="J5" t="s" s="98">
        <v>75</v>
      </c>
      <c r="K5" t="s" s="98">
        <v>36</v>
      </c>
      <c r="L5" t="s" s="98">
        <v>74</v>
      </c>
      <c r="M5" t="s" s="98">
        <v>75</v>
      </c>
      <c r="N5" t="s" s="98">
        <v>36</v>
      </c>
      <c r="O5" t="s" s="98">
        <v>74</v>
      </c>
      <c r="P5" t="s" s="98">
        <v>75</v>
      </c>
      <c r="Q5" t="s" s="98">
        <v>36</v>
      </c>
      <c r="R5" t="s" s="98">
        <v>74</v>
      </c>
      <c r="S5" t="s" s="98">
        <v>75</v>
      </c>
      <c r="T5" t="s" s="98">
        <v>36</v>
      </c>
      <c r="U5" t="s" s="98">
        <v>74</v>
      </c>
      <c r="V5" t="s" s="98">
        <v>75</v>
      </c>
      <c r="W5" t="s" s="98">
        <v>36</v>
      </c>
      <c r="X5" t="s" s="98">
        <v>74</v>
      </c>
      <c r="Y5" t="s" s="98">
        <v>75</v>
      </c>
      <c r="Z5" t="s" s="98">
        <v>36</v>
      </c>
      <c r="AA5" t="s" s="98">
        <v>74</v>
      </c>
      <c r="AB5" t="s" s="98">
        <v>75</v>
      </c>
      <c r="AC5" t="s" s="98">
        <v>36</v>
      </c>
      <c r="AD5" t="s" s="98">
        <v>74</v>
      </c>
      <c r="AE5" t="s" s="98">
        <v>75</v>
      </c>
      <c r="AF5" t="s" s="98">
        <v>36</v>
      </c>
      <c r="AG5" t="s" s="98">
        <v>74</v>
      </c>
      <c r="AH5" t="s" s="98">
        <v>75</v>
      </c>
      <c r="AI5" t="s" s="98">
        <v>36</v>
      </c>
      <c r="AJ5" t="s" s="98">
        <v>74</v>
      </c>
      <c r="AK5" t="s" s="135">
        <v>75</v>
      </c>
    </row>
    <row r="6" ht="14.25" customHeight="1">
      <c r="A6" t="s" s="53">
        <v>46</v>
      </c>
      <c r="B6" s="121">
        <v>1.32421449398066</v>
      </c>
      <c r="C6" s="78">
        <v>0.35549162682186</v>
      </c>
      <c r="D6" s="122">
        <v>1.67970612080251</v>
      </c>
      <c r="E6" s="121">
        <v>0.993331538290387</v>
      </c>
      <c r="F6" s="78">
        <v>6.04018313768196</v>
      </c>
      <c r="G6" s="122">
        <v>7.03351467597235</v>
      </c>
      <c r="H6" s="121">
        <v>-0.455559693040006</v>
      </c>
      <c r="I6" s="78">
        <v>-5.9647622522333</v>
      </c>
      <c r="J6" s="122">
        <v>-6.42032194527329</v>
      </c>
      <c r="K6" s="121">
        <v>-0.613968776672778</v>
      </c>
      <c r="L6" s="78">
        <v>6.71352032153876</v>
      </c>
      <c r="M6" s="122">
        <v>6.09955154486599</v>
      </c>
      <c r="N6" s="121">
        <v>0.288992899065187</v>
      </c>
      <c r="O6" s="78">
        <v>-5.1167199809824</v>
      </c>
      <c r="P6" s="122">
        <v>-4.82772708191722</v>
      </c>
      <c r="Q6" s="121">
        <v>0.368965314468317</v>
      </c>
      <c r="R6" s="78">
        <v>4.4060777185762</v>
      </c>
      <c r="S6" s="122">
        <v>4.77504303304451</v>
      </c>
      <c r="T6" s="121">
        <v>0.330235811630873</v>
      </c>
      <c r="U6" s="78">
        <v>-0.354983005068417</v>
      </c>
      <c r="V6" s="122">
        <v>-0.0247471934375576</v>
      </c>
      <c r="W6" s="121">
        <v>0.09924526959479101</v>
      </c>
      <c r="X6" s="78">
        <v>-0.743017844163363</v>
      </c>
      <c r="Y6" s="122">
        <v>-0.643772574568553</v>
      </c>
      <c r="Z6" s="121">
        <v>-0.9424193557484</v>
      </c>
      <c r="AA6" s="78">
        <v>-0.92261563416665</v>
      </c>
      <c r="AB6" s="122">
        <v>-1.86503498991506</v>
      </c>
      <c r="AC6" s="121">
        <v>-0.561019818042405</v>
      </c>
      <c r="AD6" s="78">
        <v>5.47532440019274</v>
      </c>
      <c r="AE6" s="122">
        <v>4.91430458215034</v>
      </c>
      <c r="AF6" s="121">
        <v>0.85949122601949</v>
      </c>
      <c r="AG6" s="78">
        <v>10.953944563880</v>
      </c>
      <c r="AH6" s="122">
        <v>11.8134357898995</v>
      </c>
      <c r="AI6" s="121">
        <v>0.425471875382522</v>
      </c>
      <c r="AJ6" s="78">
        <v>5.07293155877982</v>
      </c>
      <c r="AK6" s="122">
        <v>5.49840343416232</v>
      </c>
    </row>
    <row r="7" ht="14.25" customHeight="1">
      <c r="A7" t="s" s="123">
        <v>47</v>
      </c>
      <c r="B7" s="124">
        <v>1.20577614633737</v>
      </c>
      <c r="C7" s="81">
        <v>-6.65396226356091</v>
      </c>
      <c r="D7" s="125">
        <v>-5.4481861172235</v>
      </c>
      <c r="E7" s="124">
        <v>-0.276601689315632</v>
      </c>
      <c r="F7" s="81">
        <v>-0.437160464059307</v>
      </c>
      <c r="G7" s="125">
        <v>-0.713762153374951</v>
      </c>
      <c r="H7" s="124">
        <v>0.469124272849049</v>
      </c>
      <c r="I7" s="81">
        <v>0.933804949398877</v>
      </c>
      <c r="J7" s="125">
        <v>1.40292922224791</v>
      </c>
      <c r="K7" s="124">
        <v>-0.233591982164016</v>
      </c>
      <c r="L7" s="81">
        <v>3.37786116662242</v>
      </c>
      <c r="M7" s="125">
        <v>3.14426918445843</v>
      </c>
      <c r="N7" s="124">
        <v>-0.30006524258791</v>
      </c>
      <c r="O7" s="81">
        <v>4.36629092745384</v>
      </c>
      <c r="P7" s="125">
        <v>4.06622568486592</v>
      </c>
      <c r="Q7" s="124">
        <v>0.79866492623283</v>
      </c>
      <c r="R7" s="81">
        <v>1.00970479679597</v>
      </c>
      <c r="S7" s="125">
        <v>1.8083697230288</v>
      </c>
      <c r="T7" s="124">
        <v>-0.41085127756105</v>
      </c>
      <c r="U7" s="81">
        <v>3.54487282567653</v>
      </c>
      <c r="V7" s="125">
        <v>3.13402154811547</v>
      </c>
      <c r="W7" s="124">
        <v>-0.610867733267617</v>
      </c>
      <c r="X7" s="81">
        <v>2.18936850530148</v>
      </c>
      <c r="Y7" s="125">
        <v>1.57850077203387</v>
      </c>
      <c r="Z7" s="124">
        <v>-1.34522148692638</v>
      </c>
      <c r="AA7" s="81">
        <v>-9.622923358067171</v>
      </c>
      <c r="AB7" s="125">
        <v>-10.9681448449935</v>
      </c>
      <c r="AC7" s="124">
        <v>1.71185218934173</v>
      </c>
      <c r="AD7" s="81">
        <v>12.0830556898307</v>
      </c>
      <c r="AE7" s="125">
        <v>13.7949078791724</v>
      </c>
      <c r="AF7" s="124">
        <v>0.574401755154912</v>
      </c>
      <c r="AG7" s="81">
        <v>7.0054354982826</v>
      </c>
      <c r="AH7" s="125">
        <v>7.57983725343754</v>
      </c>
      <c r="AI7" s="124">
        <v>0.5801265243720219</v>
      </c>
      <c r="AJ7" s="81">
        <v>10.8698524719789</v>
      </c>
      <c r="AK7" s="125">
        <v>11.449978996351</v>
      </c>
    </row>
    <row r="8" ht="14.25" customHeight="1">
      <c r="A8" t="s" s="123">
        <v>48</v>
      </c>
      <c r="B8" s="124">
        <v>1.03446256148847</v>
      </c>
      <c r="C8" s="81">
        <v>-4.21723132926493</v>
      </c>
      <c r="D8" s="125">
        <v>-3.18276876777646</v>
      </c>
      <c r="E8" s="124">
        <v>-0.054604153815659</v>
      </c>
      <c r="F8" s="81">
        <v>-0.30689812864697</v>
      </c>
      <c r="G8" s="125">
        <v>-0.361502282462604</v>
      </c>
      <c r="H8" s="124">
        <v>-0.0455544508577119</v>
      </c>
      <c r="I8" s="81">
        <v>3.14408323152074</v>
      </c>
      <c r="J8" s="125">
        <v>3.09852878066301</v>
      </c>
      <c r="K8" s="124">
        <v>-0.306815389772196</v>
      </c>
      <c r="L8" s="81">
        <v>3.39533754162072</v>
      </c>
      <c r="M8" s="125">
        <v>3.08852215184856</v>
      </c>
      <c r="N8" s="124">
        <v>0.558867698794448</v>
      </c>
      <c r="O8" s="81">
        <v>5.30289623985472</v>
      </c>
      <c r="P8" s="125">
        <v>5.86176393864912</v>
      </c>
      <c r="Q8" s="124">
        <v>-0.301275575070195</v>
      </c>
      <c r="R8" s="81">
        <v>4.73033974336654</v>
      </c>
      <c r="S8" s="125">
        <v>4.42906416829634</v>
      </c>
      <c r="T8" s="124">
        <v>-0.187873269288142</v>
      </c>
      <c r="U8" s="81">
        <v>4.17226291022211</v>
      </c>
      <c r="V8" s="125">
        <v>3.98438964093399</v>
      </c>
      <c r="W8" s="124">
        <v>-0.221380644253438</v>
      </c>
      <c r="X8" s="81">
        <v>0.402238979443547</v>
      </c>
      <c r="Y8" s="125">
        <v>0.180858335190089</v>
      </c>
      <c r="Z8" s="124">
        <v>-0.105752303414452</v>
      </c>
      <c r="AA8" s="81">
        <v>-9.33097845801082</v>
      </c>
      <c r="AB8" s="125">
        <v>-9.436730761425279</v>
      </c>
      <c r="AC8" s="124">
        <v>0.405251186661766</v>
      </c>
      <c r="AD8" s="81">
        <v>17.1650537804469</v>
      </c>
      <c r="AE8" s="125">
        <v>17.5703049671086</v>
      </c>
      <c r="AF8" s="124">
        <v>0.328920788811149</v>
      </c>
      <c r="AG8" s="81">
        <v>6.91992535182906</v>
      </c>
      <c r="AH8" s="125">
        <v>7.24884614064021</v>
      </c>
      <c r="AI8" s="124">
        <v>0.798064097562349</v>
      </c>
      <c r="AJ8" s="81">
        <v>10.4991376574332</v>
      </c>
      <c r="AK8" s="125">
        <v>11.2972017549956</v>
      </c>
    </row>
    <row r="9" ht="14.25" customHeight="1">
      <c r="A9" t="s" s="123">
        <v>49</v>
      </c>
      <c r="B9" s="124">
        <v>1.73675976526604</v>
      </c>
      <c r="C9" s="81">
        <v>0.252827539377421</v>
      </c>
      <c r="D9" s="125">
        <v>1.9895873046435</v>
      </c>
      <c r="E9" s="124">
        <v>-0.2597505772124</v>
      </c>
      <c r="F9" s="81">
        <v>0.888674336598046</v>
      </c>
      <c r="G9" s="125">
        <v>0.628923759385654</v>
      </c>
      <c r="H9" s="124">
        <v>0.199081538331854</v>
      </c>
      <c r="I9" s="81">
        <v>-2.61396525456035</v>
      </c>
      <c r="J9" s="125">
        <v>-2.4148837162285</v>
      </c>
      <c r="K9" s="124">
        <v>-1.73785775054781</v>
      </c>
      <c r="L9" s="81">
        <v>4.64437777748692</v>
      </c>
      <c r="M9" s="125">
        <v>2.90652002693909</v>
      </c>
      <c r="N9" s="124">
        <v>0.419485385236018</v>
      </c>
      <c r="O9" s="81">
        <v>4.69721739598914</v>
      </c>
      <c r="P9" s="125">
        <v>5.11670278122519</v>
      </c>
      <c r="Q9" s="124">
        <v>0.116228055349525</v>
      </c>
      <c r="R9" s="81">
        <v>3.42417009927039</v>
      </c>
      <c r="S9" s="125">
        <v>3.54039815461989</v>
      </c>
      <c r="T9" s="124">
        <v>-0.617414732013818</v>
      </c>
      <c r="U9" s="81">
        <v>2.58490631072834</v>
      </c>
      <c r="V9" s="125">
        <v>1.96749157871456</v>
      </c>
      <c r="W9" s="124">
        <v>0.0354061102773872</v>
      </c>
      <c r="X9" s="81">
        <v>1.74584689836686</v>
      </c>
      <c r="Y9" s="125">
        <v>1.7812530086442</v>
      </c>
      <c r="Z9" s="124">
        <v>0.011392119232266</v>
      </c>
      <c r="AA9" s="81">
        <v>-3.67974281154675</v>
      </c>
      <c r="AB9" s="125">
        <v>-3.66835069231443</v>
      </c>
      <c r="AC9" s="124">
        <v>-0.0731325142886753</v>
      </c>
      <c r="AD9" s="81">
        <v>17.343761470579</v>
      </c>
      <c r="AE9" s="125">
        <v>17.2706289562903</v>
      </c>
      <c r="AF9" s="124">
        <v>0.232969117149053</v>
      </c>
      <c r="AG9" s="81">
        <v>15.401095146217</v>
      </c>
      <c r="AH9" s="125">
        <v>15.6340642633661</v>
      </c>
      <c r="AI9" s="124">
        <v>0.103335767708682</v>
      </c>
      <c r="AJ9" s="81">
        <v>-0.692650584215732</v>
      </c>
      <c r="AK9" s="125">
        <v>-0.589314816507036</v>
      </c>
    </row>
    <row r="10" ht="14.25" customHeight="1">
      <c r="A10" t="s" s="123">
        <v>50</v>
      </c>
      <c r="B10" s="124">
        <v>0.316143071557421</v>
      </c>
      <c r="C10" s="81">
        <v>-8.29377248669911</v>
      </c>
      <c r="D10" s="125">
        <v>-7.9776294151417</v>
      </c>
      <c r="E10" s="124">
        <v>0.828531258401302</v>
      </c>
      <c r="F10" s="81">
        <v>-7.54191864696614</v>
      </c>
      <c r="G10" s="125">
        <v>-6.71338738856484</v>
      </c>
      <c r="H10" s="124">
        <v>-0.470857479404246</v>
      </c>
      <c r="I10" s="81">
        <v>-8.165003471916989</v>
      </c>
      <c r="J10" s="125">
        <v>-8.63586095132122</v>
      </c>
      <c r="K10" s="124">
        <v>-0.570151747382581</v>
      </c>
      <c r="L10" s="81">
        <v>-0.8089426224296929</v>
      </c>
      <c r="M10" s="125">
        <v>-1.3790943698123</v>
      </c>
      <c r="N10" s="124">
        <v>0.193716553835337</v>
      </c>
      <c r="O10" s="81">
        <v>1.4041540292092</v>
      </c>
      <c r="P10" s="125">
        <v>1.59787058304454</v>
      </c>
      <c r="Q10" s="124">
        <v>0.435242159864039</v>
      </c>
      <c r="R10" s="81">
        <v>1.14109257789627</v>
      </c>
      <c r="S10" s="125">
        <v>1.57633473776031</v>
      </c>
      <c r="T10" s="124">
        <v>0.0741009416141331</v>
      </c>
      <c r="U10" s="81">
        <v>1.58783604241866</v>
      </c>
      <c r="V10" s="125">
        <v>1.66193698403278</v>
      </c>
      <c r="W10" s="124">
        <v>-1.13379284319023</v>
      </c>
      <c r="X10" s="81">
        <v>5.04124297174122</v>
      </c>
      <c r="Y10" s="125">
        <v>3.907450128551</v>
      </c>
      <c r="Z10" s="124">
        <v>-2.19830433204369</v>
      </c>
      <c r="AA10" s="81">
        <v>-2.46695788431749</v>
      </c>
      <c r="AB10" s="125">
        <v>-4.66526221636117</v>
      </c>
      <c r="AC10" s="124">
        <v>4.0217289635534</v>
      </c>
      <c r="AD10" s="81">
        <v>25.3379741133115</v>
      </c>
      <c r="AE10" s="125">
        <v>29.3597030768649</v>
      </c>
      <c r="AF10" s="124">
        <v>2.85919784601872</v>
      </c>
      <c r="AG10" s="81">
        <v>16.8754795615529</v>
      </c>
      <c r="AH10" s="125">
        <v>19.7346774075716</v>
      </c>
      <c r="AI10" s="124">
        <v>1.24715098020863</v>
      </c>
      <c r="AJ10" s="81">
        <v>12.9751209936336</v>
      </c>
      <c r="AK10" s="125">
        <v>14.2222719738423</v>
      </c>
    </row>
    <row r="11" ht="14.25" customHeight="1">
      <c r="A11" t="s" s="123">
        <v>51</v>
      </c>
      <c r="B11" s="124">
        <v>0.00541054518270538</v>
      </c>
      <c r="C11" s="81">
        <v>-2.36418709192624</v>
      </c>
      <c r="D11" s="125">
        <v>-2.35877654674356</v>
      </c>
      <c r="E11" s="124">
        <v>0.381511427414698</v>
      </c>
      <c r="F11" s="81">
        <v>-1.60622988014992</v>
      </c>
      <c r="G11" s="125">
        <v>-1.22471845273521</v>
      </c>
      <c r="H11" s="124">
        <v>0.7476921261325929</v>
      </c>
      <c r="I11" s="81">
        <v>1.16509349684449</v>
      </c>
      <c r="J11" s="125">
        <v>1.91278562297705</v>
      </c>
      <c r="K11" s="124">
        <v>0.0274427661937876</v>
      </c>
      <c r="L11" s="81">
        <v>2.7784861010736</v>
      </c>
      <c r="M11" s="125">
        <v>2.80592886726741</v>
      </c>
      <c r="N11" s="124">
        <v>0.122273706373969</v>
      </c>
      <c r="O11" s="81">
        <v>3.98934832546736</v>
      </c>
      <c r="P11" s="125">
        <v>4.11162203184131</v>
      </c>
      <c r="Q11" s="124">
        <v>1.30527878384171</v>
      </c>
      <c r="R11" s="81">
        <v>2.75021909669876</v>
      </c>
      <c r="S11" s="125">
        <v>4.05549788054048</v>
      </c>
      <c r="T11" s="124">
        <v>-0.903833309454362</v>
      </c>
      <c r="U11" s="81">
        <v>2.71225151184897</v>
      </c>
      <c r="V11" s="125">
        <v>1.8084182023946</v>
      </c>
      <c r="W11" s="124">
        <v>-0.176072437531939</v>
      </c>
      <c r="X11" s="81">
        <v>3.54192573026741</v>
      </c>
      <c r="Y11" s="125">
        <v>3.36585329273548</v>
      </c>
      <c r="Z11" s="124">
        <v>-3.77872367702152</v>
      </c>
      <c r="AA11" s="81">
        <v>-13.5551227358829</v>
      </c>
      <c r="AB11" s="125">
        <v>-17.3338464129045</v>
      </c>
      <c r="AC11" s="124">
        <v>1.82533667260802</v>
      </c>
      <c r="AD11" s="81">
        <v>13.361311552567</v>
      </c>
      <c r="AE11" s="125">
        <v>15.186648225175</v>
      </c>
      <c r="AF11" s="124">
        <v>2.70746065945098</v>
      </c>
      <c r="AG11" s="81">
        <v>10.9671337216933</v>
      </c>
      <c r="AH11" s="125">
        <v>13.6745943811443</v>
      </c>
      <c r="AI11" s="124">
        <v>1.46740078330798</v>
      </c>
      <c r="AJ11" s="81">
        <v>5.10159307833219</v>
      </c>
      <c r="AK11" s="125">
        <v>6.56899386164017</v>
      </c>
    </row>
    <row r="12" ht="14.25" customHeight="1">
      <c r="A12" t="s" s="123">
        <v>52</v>
      </c>
      <c r="B12" s="124">
        <v>1.30723960249756</v>
      </c>
      <c r="C12" s="81">
        <v>-2.85824838932687</v>
      </c>
      <c r="D12" s="125">
        <v>-1.55100878682927</v>
      </c>
      <c r="E12" s="124">
        <v>0.32412178927136</v>
      </c>
      <c r="F12" s="81">
        <v>-1.27232043765761</v>
      </c>
      <c r="G12" s="125">
        <v>-0.948198648386262</v>
      </c>
      <c r="H12" s="124">
        <v>0.365438643394835</v>
      </c>
      <c r="I12" s="81">
        <v>0.576441325919457</v>
      </c>
      <c r="J12" s="125">
        <v>0.941879969314278</v>
      </c>
      <c r="K12" s="124">
        <v>-0.306686856223704</v>
      </c>
      <c r="L12" s="81">
        <v>2.28857614818166</v>
      </c>
      <c r="M12" s="125">
        <v>1.98188929195799</v>
      </c>
      <c r="N12" s="124">
        <v>0.961498012625767</v>
      </c>
      <c r="O12" s="81">
        <v>1.1009935550425</v>
      </c>
      <c r="P12" s="125">
        <v>2.06249156766823</v>
      </c>
      <c r="Q12" s="124">
        <v>-0.00511284442714638</v>
      </c>
      <c r="R12" s="81">
        <v>2.81749076244597</v>
      </c>
      <c r="S12" s="125">
        <v>2.81237791801885</v>
      </c>
      <c r="T12" s="124">
        <v>1.31458661102979</v>
      </c>
      <c r="U12" s="81">
        <v>2.16206428246919</v>
      </c>
      <c r="V12" s="125">
        <v>3.47665089349899</v>
      </c>
      <c r="W12" s="124">
        <v>-3.46700023784436</v>
      </c>
      <c r="X12" s="81">
        <v>0.225605000287011</v>
      </c>
      <c r="Y12" s="125">
        <v>-3.24139523755734</v>
      </c>
      <c r="Z12" s="124">
        <v>-2.47046582156483</v>
      </c>
      <c r="AA12" s="81">
        <v>5.13401314898439</v>
      </c>
      <c r="AB12" s="125">
        <v>2.66354732741955</v>
      </c>
      <c r="AC12" s="124">
        <v>3.46819450578937</v>
      </c>
      <c r="AD12" s="81">
        <v>4.40382730586345</v>
      </c>
      <c r="AE12" s="125">
        <v>7.87202181165283</v>
      </c>
      <c r="AF12" s="124">
        <v>1.74502518165113</v>
      </c>
      <c r="AG12" s="81">
        <v>8.60217844991201</v>
      </c>
      <c r="AH12" s="125">
        <v>10.3472036315631</v>
      </c>
      <c r="AI12" s="124">
        <v>0.565843700989341</v>
      </c>
      <c r="AJ12" s="81">
        <v>12.2695781298306</v>
      </c>
      <c r="AK12" s="125">
        <v>12.835421830820</v>
      </c>
    </row>
    <row r="13" ht="14.25" customHeight="1">
      <c r="A13" t="s" s="123">
        <v>53</v>
      </c>
      <c r="B13" s="126">
        <v>-0.640508364286186</v>
      </c>
      <c r="C13" s="136">
        <v>0.507335548173156</v>
      </c>
      <c r="D13" s="127">
        <v>-0.133172816112996</v>
      </c>
      <c r="E13" s="126">
        <v>-0.237156328040003</v>
      </c>
      <c r="F13" s="136">
        <v>0.0491208114776219</v>
      </c>
      <c r="G13" s="127">
        <v>-0.18803551656241</v>
      </c>
      <c r="H13" s="126">
        <v>0.303181639980837</v>
      </c>
      <c r="I13" s="136">
        <v>1.29766245031119</v>
      </c>
      <c r="J13" s="127">
        <v>1.60084409029206</v>
      </c>
      <c r="K13" s="126">
        <v>-0.0946466928680699</v>
      </c>
      <c r="L13" s="136">
        <v>1.86098126311113</v>
      </c>
      <c r="M13" s="127">
        <v>1.76633457024302</v>
      </c>
      <c r="N13" s="126">
        <v>-0.367594266315811</v>
      </c>
      <c r="O13" s="136">
        <v>1.60278528347403</v>
      </c>
      <c r="P13" s="127">
        <v>1.23519101715823</v>
      </c>
      <c r="Q13" s="126">
        <v>0.163561015628649</v>
      </c>
      <c r="R13" s="136">
        <v>0.999840080462449</v>
      </c>
      <c r="S13" s="127">
        <v>1.16340109609109</v>
      </c>
      <c r="T13" s="126">
        <v>-0.0232005130343419</v>
      </c>
      <c r="U13" s="136">
        <v>1.94458885208595</v>
      </c>
      <c r="V13" s="127">
        <v>1.92138833905163</v>
      </c>
      <c r="W13" s="126">
        <v>-0.116858423529616</v>
      </c>
      <c r="X13" s="136">
        <v>1.62169901106463</v>
      </c>
      <c r="Y13" s="127">
        <v>1.504840587535</v>
      </c>
      <c r="Z13" s="126">
        <v>-0.93665570458675</v>
      </c>
      <c r="AA13" s="136">
        <v>-1.45611479325098</v>
      </c>
      <c r="AB13" s="127">
        <v>-2.3927704978377</v>
      </c>
      <c r="AC13" s="126">
        <v>0.409242602902377</v>
      </c>
      <c r="AD13" s="136">
        <v>2.60559320974775</v>
      </c>
      <c r="AE13" s="127">
        <v>3.01483581265014</v>
      </c>
      <c r="AF13" s="126">
        <v>0.30492170015271</v>
      </c>
      <c r="AG13" s="136">
        <v>6.26672068428512</v>
      </c>
      <c r="AH13" s="127">
        <v>6.57164238443782</v>
      </c>
      <c r="AI13" s="126">
        <v>0.613813251613244</v>
      </c>
      <c r="AJ13" s="136">
        <v>6.98512066792695</v>
      </c>
      <c r="AK13" s="127">
        <v>7.59893391954016</v>
      </c>
    </row>
    <row r="14" ht="14.25" customHeight="1">
      <c r="A14" t="s" s="123">
        <v>54</v>
      </c>
      <c r="B14" s="126">
        <v>0</v>
      </c>
      <c r="C14" s="136">
        <v>-1.59015453650288</v>
      </c>
      <c r="D14" s="127">
        <v>-1.59015453650288</v>
      </c>
      <c r="E14" s="126">
        <v>0</v>
      </c>
      <c r="F14" s="136">
        <v>-1.24319034502717</v>
      </c>
      <c r="G14" s="127">
        <v>-1.24319034502717</v>
      </c>
      <c r="H14" s="126">
        <v>0</v>
      </c>
      <c r="I14" s="136">
        <v>-1.64176571851307</v>
      </c>
      <c r="J14" s="127">
        <v>-1.64176571851307</v>
      </c>
      <c r="K14" s="126">
        <v>0</v>
      </c>
      <c r="L14" s="136">
        <v>-0.470091522072768</v>
      </c>
      <c r="M14" s="127">
        <v>-0.470091522072768</v>
      </c>
      <c r="N14" s="126">
        <v>0</v>
      </c>
      <c r="O14" s="136">
        <v>0.62876896149836</v>
      </c>
      <c r="P14" s="127">
        <v>0.62876896149836</v>
      </c>
      <c r="Q14" s="126">
        <v>0</v>
      </c>
      <c r="R14" s="136">
        <v>0.383847269317659</v>
      </c>
      <c r="S14" s="127">
        <v>0.383847269317659</v>
      </c>
      <c r="T14" s="126">
        <v>0</v>
      </c>
      <c r="U14" s="136">
        <v>1.41915583466713</v>
      </c>
      <c r="V14" s="127">
        <v>1.41915583466713</v>
      </c>
      <c r="W14" s="126">
        <v>0</v>
      </c>
      <c r="X14" s="136">
        <v>0.349339427905186</v>
      </c>
      <c r="Y14" s="127">
        <v>0.349339427905186</v>
      </c>
      <c r="Z14" s="126">
        <v>0</v>
      </c>
      <c r="AA14" s="136">
        <v>-0.644879593605635</v>
      </c>
      <c r="AB14" s="127">
        <v>-0.644879593605635</v>
      </c>
      <c r="AC14" s="126">
        <v>0</v>
      </c>
      <c r="AD14" s="136">
        <v>2.29283249063205</v>
      </c>
      <c r="AE14" s="127">
        <v>2.29283249063205</v>
      </c>
      <c r="AF14" s="126">
        <v>0</v>
      </c>
      <c r="AG14" s="136">
        <v>2.50538540026234</v>
      </c>
      <c r="AH14" s="127">
        <v>2.50538540026234</v>
      </c>
      <c r="AI14" s="126">
        <v>0</v>
      </c>
      <c r="AJ14" s="136">
        <v>2.4952741215099</v>
      </c>
      <c r="AK14" s="127">
        <v>2.4952741215099</v>
      </c>
    </row>
    <row r="15" ht="14.25" customHeight="1">
      <c r="A15" t="s" s="123">
        <v>55</v>
      </c>
      <c r="B15" s="126">
        <v>0.454552062944364</v>
      </c>
      <c r="C15" s="136">
        <v>-1.17574825395575</v>
      </c>
      <c r="D15" s="127">
        <v>-0.721196191011383</v>
      </c>
      <c r="E15" s="126">
        <v>-0.165175026346254</v>
      </c>
      <c r="F15" s="136">
        <v>0.243548010945848</v>
      </c>
      <c r="G15" s="127">
        <v>0.0783729845996297</v>
      </c>
      <c r="H15" s="126">
        <v>1.1033576664861</v>
      </c>
      <c r="I15" s="136">
        <v>0.502456701038588</v>
      </c>
      <c r="J15" s="127">
        <v>1.6058143675247</v>
      </c>
      <c r="K15" s="126">
        <v>0.0133359050507168</v>
      </c>
      <c r="L15" s="136">
        <v>0.000337725845333027</v>
      </c>
      <c r="M15" s="127">
        <v>0.0136736308960428</v>
      </c>
      <c r="N15" s="126">
        <v>-0.578268870314121</v>
      </c>
      <c r="O15" s="136">
        <v>1.91126264909598</v>
      </c>
      <c r="P15" s="127">
        <v>1.33299377878185</v>
      </c>
      <c r="Q15" s="126">
        <v>-0.0801023435825166</v>
      </c>
      <c r="R15" s="136">
        <v>2.11646031342768</v>
      </c>
      <c r="S15" s="127">
        <v>2.03635796984515</v>
      </c>
      <c r="T15" s="126">
        <v>-0.574781036953575</v>
      </c>
      <c r="U15" s="136">
        <v>1.60172275387491</v>
      </c>
      <c r="V15" s="127">
        <v>1.02694171692135</v>
      </c>
      <c r="W15" s="126">
        <v>-0.204678966149668</v>
      </c>
      <c r="X15" s="136">
        <v>0.603241887490604</v>
      </c>
      <c r="Y15" s="127">
        <v>0.398562921340934</v>
      </c>
      <c r="Z15" s="126">
        <v>-0.699959164080368</v>
      </c>
      <c r="AA15" s="136">
        <v>-0.0676393339200352</v>
      </c>
      <c r="AB15" s="127">
        <v>-0.767598498000431</v>
      </c>
      <c r="AC15" s="126">
        <v>0.448458408718899</v>
      </c>
      <c r="AD15" s="136">
        <v>7.49186465255845</v>
      </c>
      <c r="AE15" s="127">
        <v>7.94032306127739</v>
      </c>
      <c r="AF15" s="126">
        <v>0.593356136360366</v>
      </c>
      <c r="AG15" s="136">
        <v>1.78017411278131</v>
      </c>
      <c r="AH15" s="127">
        <v>2.37353024914168</v>
      </c>
      <c r="AI15" s="126">
        <v>-0.145713954624062</v>
      </c>
      <c r="AJ15" s="136">
        <v>3.63419039140672</v>
      </c>
      <c r="AK15" s="127">
        <v>3.48847643678265</v>
      </c>
    </row>
    <row r="16" ht="14.25" customHeight="1">
      <c r="A16" t="s" s="123">
        <v>56</v>
      </c>
      <c r="B16" s="126">
        <v>-2.20189119007792</v>
      </c>
      <c r="C16" s="136">
        <v>-0.0410085596325066</v>
      </c>
      <c r="D16" s="127">
        <v>-2.24289974971045</v>
      </c>
      <c r="E16" s="126">
        <v>0.951778693123365</v>
      </c>
      <c r="F16" s="136">
        <v>-1.19430931388992</v>
      </c>
      <c r="G16" s="127">
        <v>-0.242530620766529</v>
      </c>
      <c r="H16" s="126">
        <v>0.391766783368765</v>
      </c>
      <c r="I16" s="136">
        <v>0.888030423203482</v>
      </c>
      <c r="J16" s="127">
        <v>1.27979720657225</v>
      </c>
      <c r="K16" s="126">
        <v>-0.912848101797029</v>
      </c>
      <c r="L16" s="136">
        <v>1.5022122808589</v>
      </c>
      <c r="M16" s="127">
        <v>0.589364179061885</v>
      </c>
      <c r="N16" s="126">
        <v>-1.69292125856814</v>
      </c>
      <c r="O16" s="136">
        <v>2.86969003696271</v>
      </c>
      <c r="P16" s="127">
        <v>1.17676877839455</v>
      </c>
      <c r="Q16" s="126">
        <v>1.17260363901074</v>
      </c>
      <c r="R16" s="136">
        <v>0.756352461866121</v>
      </c>
      <c r="S16" s="127">
        <v>1.92895610087686</v>
      </c>
      <c r="T16" s="126">
        <v>-0.335023944655727</v>
      </c>
      <c r="U16" s="136">
        <v>0.488161209188414</v>
      </c>
      <c r="V16" s="127">
        <v>0.153137264532686</v>
      </c>
      <c r="W16" s="126">
        <v>-0.616820462975701</v>
      </c>
      <c r="X16" s="136">
        <v>0.880074881999222</v>
      </c>
      <c r="Y16" s="127">
        <v>0.263254419023521</v>
      </c>
      <c r="Z16" s="126">
        <v>-6.36711695532209</v>
      </c>
      <c r="AA16" s="136">
        <v>-7.57910429045784</v>
      </c>
      <c r="AB16" s="127">
        <v>-13.9462212457799</v>
      </c>
      <c r="AC16" s="126">
        <v>2.88200656829205</v>
      </c>
      <c r="AD16" s="136">
        <v>2.13563270414515</v>
      </c>
      <c r="AE16" s="127">
        <v>5.01763927243718</v>
      </c>
      <c r="AF16" s="126">
        <v>2.77294352914101</v>
      </c>
      <c r="AG16" s="136">
        <v>8.277213848976899</v>
      </c>
      <c r="AH16" s="127">
        <v>11.0501573781179</v>
      </c>
      <c r="AI16" s="126">
        <v>5.15775245471166</v>
      </c>
      <c r="AJ16" s="136">
        <v>3.2384153406924</v>
      </c>
      <c r="AK16" s="127">
        <v>8.39616779540404</v>
      </c>
    </row>
    <row r="17" ht="14.25" customHeight="1">
      <c r="A17" t="s" s="137">
        <v>76</v>
      </c>
      <c r="B17" s="138">
        <v>0.1347603002404</v>
      </c>
      <c r="C17" s="84">
        <v>-1.82951996200683</v>
      </c>
      <c r="D17" s="139">
        <v>-1.69475966176645</v>
      </c>
      <c r="E17" s="138">
        <v>0.0794961701643823</v>
      </c>
      <c r="F17" s="84">
        <v>-0.751278568759624</v>
      </c>
      <c r="G17" s="139">
        <v>-0.671782398595236</v>
      </c>
      <c r="H17" s="138">
        <v>0.387726132755767</v>
      </c>
      <c r="I17" s="84">
        <v>0.179104175697491</v>
      </c>
      <c r="J17" s="139">
        <v>0.566830308453273</v>
      </c>
      <c r="K17" s="138">
        <v>-0.237896002919784</v>
      </c>
      <c r="L17" s="84">
        <v>2.02195118103846</v>
      </c>
      <c r="M17" s="139">
        <v>1.78405517811866</v>
      </c>
      <c r="N17" s="138">
        <v>-0.09864421744055819</v>
      </c>
      <c r="O17" s="84">
        <v>2.51297864375721</v>
      </c>
      <c r="P17" s="139">
        <v>2.41433442631664</v>
      </c>
      <c r="Q17" s="138">
        <v>0.416533231214651</v>
      </c>
      <c r="R17" s="84">
        <v>1.99699762306522</v>
      </c>
      <c r="S17" s="139">
        <v>2.41353085427988</v>
      </c>
      <c r="T17" s="138">
        <v>-0.262662059530902</v>
      </c>
      <c r="U17" s="84">
        <v>2.22460172388005</v>
      </c>
      <c r="V17" s="139">
        <v>1.96193966434917</v>
      </c>
      <c r="W17" s="138">
        <v>-0.401962060758634</v>
      </c>
      <c r="X17" s="84">
        <v>1.78060349326643</v>
      </c>
      <c r="Y17" s="139">
        <v>1.37864143250778</v>
      </c>
      <c r="Z17" s="138">
        <v>-1.71798253755943</v>
      </c>
      <c r="AA17" s="84">
        <v>-5.01080322831929</v>
      </c>
      <c r="AB17" s="139">
        <v>-6.72878576587875</v>
      </c>
      <c r="AC17" s="138">
        <v>1.10839130786212</v>
      </c>
      <c r="AD17" s="84">
        <v>8.76212541175226</v>
      </c>
      <c r="AE17" s="139">
        <v>9.8705167196144</v>
      </c>
      <c r="AF17" s="138">
        <v>1.11765004545075</v>
      </c>
      <c r="AG17" s="84">
        <v>7.98138578349609</v>
      </c>
      <c r="AH17" s="139">
        <v>9.09903582894685</v>
      </c>
      <c r="AI17" s="138">
        <v>0.8433039159871329</v>
      </c>
      <c r="AJ17" s="84">
        <v>6.47112750886435</v>
      </c>
      <c r="AK17" s="139">
        <v>7.31443142485146</v>
      </c>
    </row>
    <row r="18" ht="14" customHeight="1">
      <c r="A18" s="70"/>
      <c r="B18" s="71"/>
      <c r="C18" s="71"/>
      <c r="D18" s="71"/>
      <c r="E18" s="71"/>
      <c r="F18" s="71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3"/>
    </row>
  </sheetData>
  <mergeCells count="13">
    <mergeCell ref="AI4:AK4"/>
    <mergeCell ref="AF4:AH4"/>
    <mergeCell ref="AC4:AE4"/>
    <mergeCell ref="Z4:AB4"/>
    <mergeCell ref="W4:Y4"/>
    <mergeCell ref="T4:V4"/>
    <mergeCell ref="A4:A5"/>
    <mergeCell ref="Q4:S4"/>
    <mergeCell ref="B4:D4"/>
    <mergeCell ref="E4:G4"/>
    <mergeCell ref="H4:J4"/>
    <mergeCell ref="K4:M4"/>
    <mergeCell ref="N4:P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U58"/>
  <sheetViews>
    <sheetView workbookViewId="0" showGridLines="0" defaultGridColor="1"/>
  </sheetViews>
  <sheetFormatPr defaultColWidth="8.83333" defaultRowHeight="12.75" customHeight="1" outlineLevelRow="0" outlineLevelCol="0"/>
  <cols>
    <col min="1" max="1" width="35.8516" style="140" customWidth="1"/>
    <col min="2" max="13" width="9" style="140" customWidth="1"/>
    <col min="14" max="21" width="8.85156" style="140" customWidth="1"/>
    <col min="22" max="16384" width="8.85156" style="140" customWidth="1"/>
  </cols>
  <sheetData>
    <row r="1" ht="13.5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5.75" customHeight="1">
      <c r="A2" t="s" s="5">
        <v>77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ht="13.55" customHeight="1">
      <c r="A3" s="14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ht="13.55" customHeight="1">
      <c r="A4" s="14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  <row r="5" ht="13.55" customHeight="1">
      <c r="A5" s="8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6"/>
      <c r="P5" s="6"/>
      <c r="Q5" s="6"/>
      <c r="R5" s="6"/>
      <c r="S5" s="6"/>
      <c r="T5" s="6"/>
      <c r="U5" s="7"/>
    </row>
    <row r="6" ht="20.45" customHeight="1">
      <c r="A6" s="142"/>
      <c r="B6" s="143">
        <v>2011</v>
      </c>
      <c r="C6" s="143">
        <v>2012</v>
      </c>
      <c r="D6" s="143">
        <v>2013</v>
      </c>
      <c r="E6" s="143">
        <v>2014</v>
      </c>
      <c r="F6" s="143">
        <v>2015</v>
      </c>
      <c r="G6" s="143">
        <v>2016</v>
      </c>
      <c r="H6" s="143">
        <v>2017</v>
      </c>
      <c r="I6" s="143">
        <v>2018</v>
      </c>
      <c r="J6" s="143">
        <v>2019</v>
      </c>
      <c r="K6" s="143">
        <v>2020</v>
      </c>
      <c r="L6" s="143">
        <v>2021</v>
      </c>
      <c r="M6" s="143">
        <v>2022</v>
      </c>
      <c r="N6" s="143">
        <v>2023</v>
      </c>
      <c r="O6" s="6"/>
      <c r="P6" s="6"/>
      <c r="Q6" s="144"/>
      <c r="R6" s="6"/>
      <c r="S6" s="6"/>
      <c r="T6" s="6"/>
      <c r="U6" s="7"/>
    </row>
    <row r="7" ht="14" customHeight="1">
      <c r="A7" s="145"/>
      <c r="B7" t="s" s="146">
        <v>78</v>
      </c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8"/>
      <c r="O7" s="6"/>
      <c r="P7" s="6"/>
      <c r="Q7" s="144"/>
      <c r="R7" s="6"/>
      <c r="S7" s="6"/>
      <c r="T7" s="6"/>
      <c r="U7" s="7"/>
    </row>
    <row r="8" ht="14" customHeight="1">
      <c r="A8" t="s" s="80">
        <v>46</v>
      </c>
      <c r="B8" s="149">
        <v>134.6</v>
      </c>
      <c r="C8" s="149">
        <v>134</v>
      </c>
      <c r="D8" s="149">
        <v>134</v>
      </c>
      <c r="E8" s="149">
        <v>139.3</v>
      </c>
      <c r="F8" s="149">
        <v>147.6</v>
      </c>
      <c r="G8" s="149">
        <v>156.1</v>
      </c>
      <c r="H8" s="149">
        <v>158.1</v>
      </c>
      <c r="I8" s="149">
        <v>163.7</v>
      </c>
      <c r="J8" s="149">
        <v>157.4</v>
      </c>
      <c r="K8" s="149">
        <v>146.4</v>
      </c>
      <c r="L8" s="149">
        <v>140.1</v>
      </c>
      <c r="M8" s="149">
        <v>138.2</v>
      </c>
      <c r="N8" s="149">
        <v>146.5</v>
      </c>
      <c r="O8" s="149"/>
      <c r="P8" s="6"/>
      <c r="Q8" s="144"/>
      <c r="R8" s="6"/>
      <c r="S8" s="6"/>
      <c r="T8" s="6"/>
      <c r="U8" s="7"/>
    </row>
    <row r="9" ht="14" customHeight="1">
      <c r="A9" t="s" s="80">
        <v>79</v>
      </c>
      <c r="B9" s="149">
        <f>B10+B14</f>
        <v>330.8</v>
      </c>
      <c r="C9" s="149">
        <f>C10+C14</f>
        <v>340.9</v>
      </c>
      <c r="D9" s="149">
        <f>D10+D14</f>
        <v>319.7</v>
      </c>
      <c r="E9" s="149">
        <f>E10+E14</f>
        <v>321.6</v>
      </c>
      <c r="F9" s="149">
        <f>F10+F14</f>
        <v>326.1</v>
      </c>
      <c r="G9" s="149">
        <f>G10+G14</f>
        <v>321</v>
      </c>
      <c r="H9" s="149">
        <f>H10+H14</f>
        <v>338.2</v>
      </c>
      <c r="I9" s="149">
        <f>I10+I14</f>
        <v>339.8</v>
      </c>
      <c r="J9" s="149">
        <f>J10+J14</f>
        <v>323.4</v>
      </c>
      <c r="K9" s="149">
        <f>K10+K14</f>
        <v>281.2</v>
      </c>
      <c r="L9" s="149">
        <f>L10+L14</f>
        <v>284.4</v>
      </c>
      <c r="M9" s="149">
        <f>M10+M14</f>
        <v>294.1</v>
      </c>
      <c r="N9" s="149">
        <f>N10+N14</f>
        <v>317.4</v>
      </c>
      <c r="O9" s="150"/>
      <c r="P9" s="151"/>
      <c r="Q9" s="6"/>
      <c r="R9" s="6"/>
      <c r="S9" s="6"/>
      <c r="T9" s="6"/>
      <c r="U9" s="7"/>
    </row>
    <row r="10" ht="14" customHeight="1">
      <c r="A10" t="s" s="80">
        <v>80</v>
      </c>
      <c r="B10" s="149">
        <f>B11+B12+B13</f>
        <v>200.4</v>
      </c>
      <c r="C10" s="149">
        <f>C11+C12+C13</f>
        <v>196.2</v>
      </c>
      <c r="D10" s="149">
        <f>D11+D12+D13</f>
        <v>192.1</v>
      </c>
      <c r="E10" s="149">
        <f>E11+E12+E13</f>
        <v>193.8</v>
      </c>
      <c r="F10" s="149">
        <f>F11+F12+F13</f>
        <v>189.3</v>
      </c>
      <c r="G10" s="149">
        <f>G11+G12+G13</f>
        <v>185.4</v>
      </c>
      <c r="H10" s="149">
        <f>H11+H12+H13</f>
        <v>194.8</v>
      </c>
      <c r="I10" s="149">
        <f>I11+I12+I13</f>
        <v>193.2</v>
      </c>
      <c r="J10" s="149">
        <f>J11+J12+J13</f>
        <v>183.5</v>
      </c>
      <c r="K10" s="149">
        <f>K11+K12+K13</f>
        <v>158.5</v>
      </c>
      <c r="L10" s="149">
        <f>L11+L12+L13</f>
        <v>152.5</v>
      </c>
      <c r="M10" s="149">
        <f>M11+M12+M13</f>
        <v>153.6</v>
      </c>
      <c r="N10" s="149">
        <f>N11+N12+N13</f>
        <v>162.3</v>
      </c>
      <c r="O10" s="150"/>
      <c r="P10" s="151"/>
      <c r="Q10" s="6"/>
      <c r="R10" s="6"/>
      <c r="S10" s="6"/>
      <c r="T10" s="6"/>
      <c r="U10" s="7"/>
    </row>
    <row r="11" ht="14" customHeight="1">
      <c r="A11" t="s" s="80">
        <v>47</v>
      </c>
      <c r="B11" s="149">
        <v>108.6</v>
      </c>
      <c r="C11" s="149">
        <v>97.7</v>
      </c>
      <c r="D11" s="149">
        <v>96.59999999999999</v>
      </c>
      <c r="E11" s="149">
        <v>99.09999999999999</v>
      </c>
      <c r="F11" s="149">
        <v>95.3</v>
      </c>
      <c r="G11" s="149">
        <v>94.59999999999999</v>
      </c>
      <c r="H11" s="149">
        <v>99</v>
      </c>
      <c r="I11" s="149">
        <v>99.3</v>
      </c>
      <c r="J11" s="149">
        <v>94</v>
      </c>
      <c r="K11" s="149">
        <v>78.3</v>
      </c>
      <c r="L11" s="149">
        <v>79.5</v>
      </c>
      <c r="M11" s="149">
        <v>81.8</v>
      </c>
      <c r="N11" s="149">
        <v>84.09999999999999</v>
      </c>
      <c r="O11" s="149"/>
      <c r="P11" s="6"/>
      <c r="Q11" s="144"/>
      <c r="R11" s="6"/>
      <c r="S11" s="6"/>
      <c r="T11" s="6"/>
      <c r="U11" s="7"/>
    </row>
    <row r="12" ht="14" customHeight="1">
      <c r="A12" t="s" s="80">
        <v>48</v>
      </c>
      <c r="B12" s="149">
        <v>58.9</v>
      </c>
      <c r="C12" s="149">
        <v>60.7</v>
      </c>
      <c r="D12" s="149">
        <v>58.6</v>
      </c>
      <c r="E12" s="149">
        <v>56.9</v>
      </c>
      <c r="F12" s="149">
        <v>56.1</v>
      </c>
      <c r="G12" s="149">
        <v>54.1</v>
      </c>
      <c r="H12" s="149">
        <v>56.8</v>
      </c>
      <c r="I12" s="149">
        <v>55.6</v>
      </c>
      <c r="J12" s="149">
        <v>55.2</v>
      </c>
      <c r="K12" s="149">
        <v>49.4</v>
      </c>
      <c r="L12" s="149">
        <v>45.3</v>
      </c>
      <c r="M12" s="149">
        <v>43.4</v>
      </c>
      <c r="N12" s="149">
        <v>48.5</v>
      </c>
      <c r="O12" s="149"/>
      <c r="P12" s="6"/>
      <c r="Q12" s="144"/>
      <c r="R12" s="6"/>
      <c r="S12" s="6"/>
      <c r="T12" s="6"/>
      <c r="U12" s="7"/>
    </row>
    <row r="13" ht="14" customHeight="1">
      <c r="A13" t="s" s="80">
        <v>49</v>
      </c>
      <c r="B13" s="149">
        <v>32.9</v>
      </c>
      <c r="C13" s="149">
        <v>37.8</v>
      </c>
      <c r="D13" s="149">
        <v>36.9</v>
      </c>
      <c r="E13" s="149">
        <v>37.8</v>
      </c>
      <c r="F13" s="149">
        <v>37.9</v>
      </c>
      <c r="G13" s="149">
        <v>36.7</v>
      </c>
      <c r="H13" s="149">
        <v>39</v>
      </c>
      <c r="I13" s="149">
        <v>38.3</v>
      </c>
      <c r="J13" s="149">
        <v>34.3</v>
      </c>
      <c r="K13" s="149">
        <v>30.8</v>
      </c>
      <c r="L13" s="149">
        <v>27.7</v>
      </c>
      <c r="M13" s="149">
        <v>28.4</v>
      </c>
      <c r="N13" s="149">
        <v>29.7</v>
      </c>
      <c r="O13" s="149"/>
      <c r="P13" s="6"/>
      <c r="Q13" s="144"/>
      <c r="R13" s="6"/>
      <c r="S13" s="6"/>
      <c r="T13" s="6"/>
      <c r="U13" s="7"/>
    </row>
    <row r="14" ht="14" customHeight="1">
      <c r="A14" t="s" s="80">
        <v>50</v>
      </c>
      <c r="B14" s="149">
        <v>130.4</v>
      </c>
      <c r="C14" s="149">
        <v>144.7</v>
      </c>
      <c r="D14" s="149">
        <v>127.6</v>
      </c>
      <c r="E14" s="149">
        <v>127.8</v>
      </c>
      <c r="F14" s="149">
        <v>136.8</v>
      </c>
      <c r="G14" s="149">
        <v>135.6</v>
      </c>
      <c r="H14" s="149">
        <v>143.4</v>
      </c>
      <c r="I14" s="149">
        <v>146.6</v>
      </c>
      <c r="J14" s="149">
        <v>139.9</v>
      </c>
      <c r="K14" s="149">
        <v>122.7</v>
      </c>
      <c r="L14" s="149">
        <v>131.9</v>
      </c>
      <c r="M14" s="149">
        <v>140.5</v>
      </c>
      <c r="N14" s="149">
        <v>155.1</v>
      </c>
      <c r="O14" s="149"/>
      <c r="P14" s="6"/>
      <c r="Q14" s="144"/>
      <c r="R14" s="6"/>
      <c r="S14" s="6"/>
      <c r="T14" s="6"/>
      <c r="U14" s="7"/>
    </row>
    <row r="15" ht="14" customHeight="1">
      <c r="A15" t="s" s="80">
        <v>81</v>
      </c>
      <c r="B15" s="149">
        <f>SUM(B16:B21)</f>
        <v>1889</v>
      </c>
      <c r="C15" s="149">
        <f>SUM(C16:C21)</f>
        <v>1873.1</v>
      </c>
      <c r="D15" s="149">
        <f>SUM(D16:D21)</f>
        <v>1868.6</v>
      </c>
      <c r="E15" s="149">
        <f>SUM(E16:E21)</f>
        <v>2010.8</v>
      </c>
      <c r="F15" s="149">
        <f>SUM(F16:F21)</f>
        <v>2072.9</v>
      </c>
      <c r="G15" s="149">
        <f>SUM(G16:G21)</f>
        <v>2059.3</v>
      </c>
      <c r="H15" s="149">
        <f>SUM(H16:H21)</f>
        <v>2130.8</v>
      </c>
      <c r="I15" s="149">
        <f>SUM(I16:I21)</f>
        <v>2080.2</v>
      </c>
      <c r="J15" s="149">
        <f>SUM(J16:J21)</f>
        <v>2056.1</v>
      </c>
      <c r="K15" s="149">
        <f>SUM(K16:K21)</f>
        <v>1688.5</v>
      </c>
      <c r="L15" s="149">
        <f>SUM(L16:L21)</f>
        <v>1742.4</v>
      </c>
      <c r="M15" s="149">
        <f>SUM(M16:M21)</f>
        <v>1736.2</v>
      </c>
      <c r="N15" s="149">
        <f>SUM(N16:N21)</f>
        <v>1810.4</v>
      </c>
      <c r="O15" s="150"/>
      <c r="P15" s="151"/>
      <c r="Q15" s="6"/>
      <c r="R15" s="6"/>
      <c r="S15" s="6"/>
      <c r="T15" s="6"/>
      <c r="U15" s="7"/>
    </row>
    <row r="16" ht="14" customHeight="1">
      <c r="A16" t="s" s="80">
        <v>51</v>
      </c>
      <c r="B16" s="149">
        <v>579.4</v>
      </c>
      <c r="C16" s="149">
        <v>589.5</v>
      </c>
      <c r="D16" s="149">
        <v>581.6</v>
      </c>
      <c r="E16" s="149">
        <v>611.4</v>
      </c>
      <c r="F16" s="149">
        <v>643.8</v>
      </c>
      <c r="G16" s="149">
        <v>639.3</v>
      </c>
      <c r="H16" s="149">
        <v>680.7</v>
      </c>
      <c r="I16" s="149">
        <v>662.6</v>
      </c>
      <c r="J16" s="149">
        <v>658</v>
      </c>
      <c r="K16" s="149">
        <v>490.3</v>
      </c>
      <c r="L16" s="149">
        <v>515.2</v>
      </c>
      <c r="M16" s="149">
        <v>551.6</v>
      </c>
      <c r="N16" s="149">
        <v>599.6</v>
      </c>
      <c r="O16" s="149"/>
      <c r="P16" s="6"/>
      <c r="Q16" s="144"/>
      <c r="R16" s="6"/>
      <c r="S16" s="6"/>
      <c r="T16" s="6"/>
      <c r="U16" s="7"/>
    </row>
    <row r="17" ht="14" customHeight="1">
      <c r="A17" t="s" s="80">
        <v>52</v>
      </c>
      <c r="B17" s="149">
        <v>38.1</v>
      </c>
      <c r="C17" s="149">
        <v>39.7</v>
      </c>
      <c r="D17" s="149">
        <v>39.6</v>
      </c>
      <c r="E17" s="149">
        <v>41.4</v>
      </c>
      <c r="F17" s="149">
        <v>44.8</v>
      </c>
      <c r="G17" s="149">
        <v>42.7</v>
      </c>
      <c r="H17" s="149">
        <v>45.3</v>
      </c>
      <c r="I17" s="149">
        <v>42.6</v>
      </c>
      <c r="J17" s="149">
        <v>38.9</v>
      </c>
      <c r="K17" s="149">
        <v>33.6</v>
      </c>
      <c r="L17" s="149">
        <v>32.8</v>
      </c>
      <c r="M17" s="149">
        <v>33.8</v>
      </c>
      <c r="N17" s="149">
        <v>34.5</v>
      </c>
      <c r="O17" s="149"/>
      <c r="P17" s="6"/>
      <c r="Q17" s="144"/>
      <c r="R17" s="6"/>
      <c r="S17" s="6"/>
      <c r="T17" s="6"/>
      <c r="U17" s="7"/>
    </row>
    <row r="18" ht="14" customHeight="1">
      <c r="A18" t="s" s="80">
        <v>53</v>
      </c>
      <c r="B18" s="149">
        <v>131.1</v>
      </c>
      <c r="C18" s="149">
        <v>146.5</v>
      </c>
      <c r="D18" s="149">
        <v>139.1</v>
      </c>
      <c r="E18" s="149">
        <v>142.6</v>
      </c>
      <c r="F18" s="149">
        <v>152.5</v>
      </c>
      <c r="G18" s="149">
        <v>155</v>
      </c>
      <c r="H18" s="149">
        <v>163.8</v>
      </c>
      <c r="I18" s="149">
        <v>164.7</v>
      </c>
      <c r="J18" s="149">
        <v>174.8</v>
      </c>
      <c r="K18" s="149">
        <v>144.4</v>
      </c>
      <c r="L18" s="149">
        <v>137.5</v>
      </c>
      <c r="M18" s="149">
        <v>129.1</v>
      </c>
      <c r="N18" s="149">
        <v>126.6</v>
      </c>
      <c r="O18" s="149"/>
      <c r="P18" s="6"/>
      <c r="Q18" s="144"/>
      <c r="R18" s="6"/>
      <c r="S18" s="6"/>
      <c r="T18" s="6"/>
      <c r="U18" s="7"/>
    </row>
    <row r="19" ht="14" customHeight="1">
      <c r="A19" t="s" s="80">
        <v>54</v>
      </c>
      <c r="B19" s="152">
        <v>0</v>
      </c>
      <c r="C19" s="152">
        <v>0</v>
      </c>
      <c r="D19" s="152">
        <v>0</v>
      </c>
      <c r="E19" s="152">
        <v>0</v>
      </c>
      <c r="F19" s="152">
        <v>0</v>
      </c>
      <c r="G19" s="152">
        <v>0</v>
      </c>
      <c r="H19" s="152">
        <v>0</v>
      </c>
      <c r="I19" s="152">
        <v>0</v>
      </c>
      <c r="J19" s="152">
        <v>0</v>
      </c>
      <c r="K19" s="152">
        <v>0</v>
      </c>
      <c r="L19" s="152">
        <v>0</v>
      </c>
      <c r="M19" s="152">
        <v>0</v>
      </c>
      <c r="N19" s="152">
        <v>0</v>
      </c>
      <c r="O19" s="149"/>
      <c r="P19" s="6"/>
      <c r="Q19" s="144"/>
      <c r="R19" s="6"/>
      <c r="S19" s="6"/>
      <c r="T19" s="6"/>
      <c r="U19" s="7"/>
    </row>
    <row r="20" ht="14" customHeight="1">
      <c r="A20" t="s" s="80">
        <v>55</v>
      </c>
      <c r="B20" s="149">
        <v>172</v>
      </c>
      <c r="C20" s="149">
        <v>188</v>
      </c>
      <c r="D20" s="149">
        <v>187.3</v>
      </c>
      <c r="E20" s="149">
        <v>199.9</v>
      </c>
      <c r="F20" s="149">
        <v>201.1</v>
      </c>
      <c r="G20" s="149">
        <v>199.9</v>
      </c>
      <c r="H20" s="149">
        <v>206.3</v>
      </c>
      <c r="I20" s="149">
        <v>195.6</v>
      </c>
      <c r="J20" s="149">
        <v>194.2</v>
      </c>
      <c r="K20" s="149">
        <v>189.2</v>
      </c>
      <c r="L20" s="149">
        <v>172.1</v>
      </c>
      <c r="M20" s="149">
        <v>159.7</v>
      </c>
      <c r="N20" s="149">
        <v>159.6</v>
      </c>
      <c r="O20" s="149"/>
      <c r="P20" s="6"/>
      <c r="Q20" s="144"/>
      <c r="R20" s="6"/>
      <c r="S20" s="6"/>
      <c r="T20" s="6"/>
      <c r="U20" s="7"/>
    </row>
    <row r="21" ht="14" customHeight="1">
      <c r="A21" t="s" s="80">
        <v>56</v>
      </c>
      <c r="B21" s="149">
        <v>968.4</v>
      </c>
      <c r="C21" s="149">
        <v>909.4</v>
      </c>
      <c r="D21" s="149">
        <v>921</v>
      </c>
      <c r="E21" s="149">
        <v>1015.5</v>
      </c>
      <c r="F21" s="149">
        <v>1030.7</v>
      </c>
      <c r="G21" s="149">
        <v>1022.4</v>
      </c>
      <c r="H21" s="149">
        <v>1034.7</v>
      </c>
      <c r="I21" s="149">
        <v>1014.7</v>
      </c>
      <c r="J21" s="149">
        <v>990.2</v>
      </c>
      <c r="K21" s="149">
        <v>831</v>
      </c>
      <c r="L21" s="149">
        <v>884.8</v>
      </c>
      <c r="M21" s="149">
        <v>862</v>
      </c>
      <c r="N21" s="149">
        <v>890.1</v>
      </c>
      <c r="O21" s="149"/>
      <c r="P21" s="6"/>
      <c r="Q21" s="144"/>
      <c r="R21" s="6"/>
      <c r="S21" s="6"/>
      <c r="T21" s="6"/>
      <c r="U21" s="7"/>
    </row>
    <row r="22" ht="14" customHeight="1">
      <c r="A22" t="s" s="153">
        <v>82</v>
      </c>
      <c r="B22" s="154">
        <f>B8+B9+B15</f>
        <v>2354.4</v>
      </c>
      <c r="C22" s="154">
        <f>C8+C9+C15</f>
        <v>2348</v>
      </c>
      <c r="D22" s="154">
        <f>D8+D9+D15</f>
        <v>2322.3</v>
      </c>
      <c r="E22" s="154">
        <f>E8+E9+E15</f>
        <v>2471.7</v>
      </c>
      <c r="F22" s="154">
        <f>F8+F9+F15</f>
        <v>2546.6</v>
      </c>
      <c r="G22" s="154">
        <f>G8+G9+G15</f>
        <v>2536.4</v>
      </c>
      <c r="H22" s="154">
        <f>H8+H9+H15</f>
        <v>2627.1</v>
      </c>
      <c r="I22" s="154">
        <f>I8+I9+I15</f>
        <v>2583.7</v>
      </c>
      <c r="J22" s="154">
        <f>J8+J9+J15</f>
        <v>2536.9</v>
      </c>
      <c r="K22" s="154">
        <f>K8+K9+K15</f>
        <v>2116.1</v>
      </c>
      <c r="L22" s="154">
        <f>L8+L9+L15</f>
        <v>2166.9</v>
      </c>
      <c r="M22" s="154">
        <f>M8+M9+M15</f>
        <v>2168.5</v>
      </c>
      <c r="N22" s="154">
        <f>N8+N9+N15</f>
        <v>2274.3</v>
      </c>
      <c r="O22" s="149"/>
      <c r="P22" s="6"/>
      <c r="Q22" s="144"/>
      <c r="R22" s="144"/>
      <c r="S22" s="144"/>
      <c r="T22" s="144"/>
      <c r="U22" s="155"/>
    </row>
    <row r="23" ht="14" customHeight="1">
      <c r="A23" s="141"/>
      <c r="B23" s="149"/>
      <c r="C23" s="154"/>
      <c r="D23" s="154"/>
      <c r="E23" s="154"/>
      <c r="F23" s="154"/>
      <c r="G23" s="154"/>
      <c r="H23" s="154"/>
      <c r="I23" s="149"/>
      <c r="J23" s="149"/>
      <c r="K23" s="149"/>
      <c r="L23" s="149"/>
      <c r="M23" s="149"/>
      <c r="N23" s="149"/>
      <c r="O23" s="149"/>
      <c r="P23" s="6"/>
      <c r="Q23" s="144"/>
      <c r="R23" s="6"/>
      <c r="S23" s="6"/>
      <c r="T23" s="6"/>
      <c r="U23" s="7"/>
    </row>
    <row r="24" ht="14" customHeight="1">
      <c r="A24" s="141"/>
      <c r="B24" t="s" s="156">
        <v>83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49"/>
      <c r="P24" s="6"/>
      <c r="Q24" s="144"/>
      <c r="R24" s="6"/>
      <c r="S24" s="6"/>
      <c r="T24" s="6"/>
      <c r="U24" s="7"/>
    </row>
    <row r="25" ht="14" customHeight="1">
      <c r="A25" t="s" s="80">
        <v>46</v>
      </c>
      <c r="B25" s="149">
        <v>65.5</v>
      </c>
      <c r="C25" s="149">
        <v>71.09999999999999</v>
      </c>
      <c r="D25" s="149">
        <v>65.8</v>
      </c>
      <c r="E25" s="149">
        <v>63.1</v>
      </c>
      <c r="F25" s="149">
        <v>63.6</v>
      </c>
      <c r="G25" s="149">
        <v>69.3</v>
      </c>
      <c r="H25" s="149">
        <v>63.9</v>
      </c>
      <c r="I25" s="149">
        <v>67.8</v>
      </c>
      <c r="J25" s="149">
        <v>71.7</v>
      </c>
      <c r="K25" s="149">
        <v>67.2</v>
      </c>
      <c r="L25" s="149">
        <v>62.1</v>
      </c>
      <c r="M25" s="149">
        <v>60</v>
      </c>
      <c r="N25" s="149">
        <v>56.7</v>
      </c>
      <c r="O25" s="149"/>
      <c r="P25" s="6"/>
      <c r="Q25" s="144"/>
      <c r="R25" s="6"/>
      <c r="S25" s="6"/>
      <c r="T25" s="6"/>
      <c r="U25" s="7"/>
    </row>
    <row r="26" ht="14" customHeight="1">
      <c r="A26" t="s" s="158">
        <v>79</v>
      </c>
      <c r="B26" s="154">
        <f>B27+B31</f>
        <v>144.9</v>
      </c>
      <c r="C26" s="154">
        <f>C27+C31</f>
        <v>154.1</v>
      </c>
      <c r="D26" s="154">
        <f>D27+D31</f>
        <v>143</v>
      </c>
      <c r="E26" s="154">
        <f>E27+E31</f>
        <v>143.6</v>
      </c>
      <c r="F26" s="154">
        <f>F27+F31</f>
        <v>147.8</v>
      </c>
      <c r="G26" s="154">
        <f>G27+G31</f>
        <v>147</v>
      </c>
      <c r="H26" s="154">
        <f>H27+H31</f>
        <v>137.2</v>
      </c>
      <c r="I26" s="154">
        <f>I27+I31</f>
        <v>137.7</v>
      </c>
      <c r="J26" s="154">
        <f>J27+J31</f>
        <v>133.7</v>
      </c>
      <c r="K26" s="154">
        <f>K27+K31</f>
        <v>114.1</v>
      </c>
      <c r="L26" s="154">
        <f>L27+L31</f>
        <v>122.8</v>
      </c>
      <c r="M26" s="154">
        <f>M27+M31</f>
        <v>118.9</v>
      </c>
      <c r="N26" s="154">
        <f>N27+N31</f>
        <v>122.3</v>
      </c>
      <c r="O26" s="149"/>
      <c r="P26" s="6"/>
      <c r="Q26" s="144"/>
      <c r="R26" s="6"/>
      <c r="S26" s="6"/>
      <c r="T26" s="6"/>
      <c r="U26" s="7"/>
    </row>
    <row r="27" ht="14" customHeight="1">
      <c r="A27" t="s" s="158">
        <v>80</v>
      </c>
      <c r="B27" s="154">
        <f>B28+B29+B30</f>
        <v>64.8</v>
      </c>
      <c r="C27" s="154">
        <f>C28+C29+C30</f>
        <v>64.5</v>
      </c>
      <c r="D27" s="154">
        <f>D28+D29+D30</f>
        <v>63.7</v>
      </c>
      <c r="E27" s="154">
        <f>E28+E29+E30</f>
        <v>64.90000000000001</v>
      </c>
      <c r="F27" s="154">
        <f>F28+F29+F30</f>
        <v>63.7</v>
      </c>
      <c r="G27" s="154">
        <f>G28+G29+G30</f>
        <v>63.8</v>
      </c>
      <c r="H27" s="154">
        <f>H28+H29+H30</f>
        <v>60.4</v>
      </c>
      <c r="I27" s="154">
        <f>I28+I29+I30</f>
        <v>59.1</v>
      </c>
      <c r="J27" s="154">
        <f>J28+J29+J30</f>
        <v>59.7</v>
      </c>
      <c r="K27" s="154">
        <f>K28+K29+K30</f>
        <v>48</v>
      </c>
      <c r="L27" s="154">
        <f>L28+L29+L30</f>
        <v>55</v>
      </c>
      <c r="M27" s="154">
        <f>M28+M29+M30</f>
        <v>50.2</v>
      </c>
      <c r="N27" s="154">
        <f>N28+N29+N30</f>
        <v>54.8</v>
      </c>
      <c r="O27" s="149"/>
      <c r="P27" s="6"/>
      <c r="Q27" s="6"/>
      <c r="R27" s="6"/>
      <c r="S27" s="6"/>
      <c r="T27" s="6"/>
      <c r="U27" s="7"/>
    </row>
    <row r="28" ht="14" customHeight="1">
      <c r="A28" t="s" s="80">
        <v>47</v>
      </c>
      <c r="B28" s="149">
        <v>42.7</v>
      </c>
      <c r="C28" s="149">
        <v>45.2</v>
      </c>
      <c r="D28" s="149">
        <v>44.8</v>
      </c>
      <c r="E28" s="149">
        <v>45.7</v>
      </c>
      <c r="F28" s="149">
        <v>44.8</v>
      </c>
      <c r="G28" s="149">
        <v>45.5</v>
      </c>
      <c r="H28" s="149">
        <v>42.3</v>
      </c>
      <c r="I28" s="149">
        <v>40.9</v>
      </c>
      <c r="J28" s="149">
        <v>41.8</v>
      </c>
      <c r="K28" s="149">
        <v>34.5</v>
      </c>
      <c r="L28" s="149">
        <v>39.9</v>
      </c>
      <c r="M28" s="149">
        <v>36.2</v>
      </c>
      <c r="N28" s="149">
        <v>38.9</v>
      </c>
      <c r="O28" s="149"/>
      <c r="P28" s="6"/>
      <c r="Q28" s="6"/>
      <c r="R28" s="6"/>
      <c r="S28" s="6"/>
      <c r="T28" s="6"/>
      <c r="U28" s="7"/>
    </row>
    <row r="29" ht="14" customHeight="1">
      <c r="A29" t="s" s="80">
        <v>48</v>
      </c>
      <c r="B29" s="149">
        <v>16.6</v>
      </c>
      <c r="C29" s="149">
        <v>14.1</v>
      </c>
      <c r="D29" s="149">
        <v>14.2</v>
      </c>
      <c r="E29" s="149">
        <v>14.3</v>
      </c>
      <c r="F29" s="149">
        <v>13.8</v>
      </c>
      <c r="G29" s="149">
        <v>13.6</v>
      </c>
      <c r="H29" s="149">
        <v>13.4</v>
      </c>
      <c r="I29" s="149">
        <v>13.5</v>
      </c>
      <c r="J29" s="149">
        <v>13.3</v>
      </c>
      <c r="K29" s="149">
        <v>10</v>
      </c>
      <c r="L29" s="149">
        <v>11.4</v>
      </c>
      <c r="M29" s="149">
        <v>10.5</v>
      </c>
      <c r="N29" s="149">
        <v>12.1</v>
      </c>
      <c r="O29" s="149"/>
      <c r="P29" s="6"/>
      <c r="Q29" s="6"/>
      <c r="R29" s="6"/>
      <c r="S29" s="6"/>
      <c r="T29" s="6"/>
      <c r="U29" s="7"/>
    </row>
    <row r="30" ht="14" customHeight="1">
      <c r="A30" t="s" s="80">
        <v>49</v>
      </c>
      <c r="B30" s="149">
        <v>5.5</v>
      </c>
      <c r="C30" s="149">
        <v>5.2</v>
      </c>
      <c r="D30" s="149">
        <v>4.7</v>
      </c>
      <c r="E30" s="149">
        <v>4.9</v>
      </c>
      <c r="F30" s="149">
        <v>5.1</v>
      </c>
      <c r="G30" s="149">
        <v>4.7</v>
      </c>
      <c r="H30" s="149">
        <v>4.7</v>
      </c>
      <c r="I30" s="149">
        <v>4.7</v>
      </c>
      <c r="J30" s="149">
        <v>4.6</v>
      </c>
      <c r="K30" s="149">
        <v>3.5</v>
      </c>
      <c r="L30" s="149">
        <v>3.7</v>
      </c>
      <c r="M30" s="149">
        <v>3.5</v>
      </c>
      <c r="N30" s="149">
        <v>3.8</v>
      </c>
      <c r="O30" s="149"/>
      <c r="P30" s="6"/>
      <c r="Q30" s="6"/>
      <c r="R30" s="6"/>
      <c r="S30" s="6"/>
      <c r="T30" s="6"/>
      <c r="U30" s="7"/>
    </row>
    <row r="31" ht="14" customHeight="1">
      <c r="A31" t="s" s="80">
        <v>50</v>
      </c>
      <c r="B31" s="149">
        <v>80.09999999999999</v>
      </c>
      <c r="C31" s="149">
        <v>89.59999999999999</v>
      </c>
      <c r="D31" s="149">
        <v>79.3</v>
      </c>
      <c r="E31" s="149">
        <v>78.7</v>
      </c>
      <c r="F31" s="149">
        <v>84.09999999999999</v>
      </c>
      <c r="G31" s="149">
        <v>83.2</v>
      </c>
      <c r="H31" s="149">
        <v>76.8</v>
      </c>
      <c r="I31" s="149">
        <v>78.59999999999999</v>
      </c>
      <c r="J31" s="149">
        <v>74</v>
      </c>
      <c r="K31" s="149">
        <v>66.09999999999999</v>
      </c>
      <c r="L31" s="149">
        <v>67.8</v>
      </c>
      <c r="M31" s="149">
        <v>68.7</v>
      </c>
      <c r="N31" s="149">
        <v>67.5</v>
      </c>
      <c r="O31" s="149"/>
      <c r="P31" s="6"/>
      <c r="Q31" s="6"/>
      <c r="R31" s="6"/>
      <c r="S31" s="6"/>
      <c r="T31" s="6"/>
      <c r="U31" s="7"/>
    </row>
    <row r="32" ht="14" customHeight="1">
      <c r="A32" t="s" s="158">
        <v>81</v>
      </c>
      <c r="B32" s="154">
        <f>SUM(B33:B38)</f>
        <v>718.6</v>
      </c>
      <c r="C32" s="154">
        <f>SUM(C33:C38)</f>
        <v>727</v>
      </c>
      <c r="D32" s="154">
        <f>SUM(D33:D38)</f>
        <v>738.3</v>
      </c>
      <c r="E32" s="154">
        <f>SUM(E33:E38)</f>
        <v>766.3</v>
      </c>
      <c r="F32" s="154">
        <f>SUM(F33:F38)</f>
        <v>773.2</v>
      </c>
      <c r="G32" s="154">
        <f>SUM(G33:G38)</f>
        <v>772.9</v>
      </c>
      <c r="H32" s="154">
        <f>SUM(H33:H38)</f>
        <v>744.8</v>
      </c>
      <c r="I32" s="154">
        <f>SUM(I33:I38)</f>
        <v>743.4</v>
      </c>
      <c r="J32" s="154">
        <f>SUM(J33:J38)</f>
        <v>761.4</v>
      </c>
      <c r="K32" s="154">
        <f>SUM(K33:K38)</f>
        <v>577.2</v>
      </c>
      <c r="L32" s="154">
        <f>SUM(L33:L38)</f>
        <v>631.6</v>
      </c>
      <c r="M32" s="154">
        <f>SUM(M33:M38)</f>
        <v>638.8</v>
      </c>
      <c r="N32" s="154">
        <f>SUM(N33:N38)</f>
        <v>678.2</v>
      </c>
      <c r="O32" s="149"/>
      <c r="P32" s="6"/>
      <c r="Q32" s="6"/>
      <c r="R32" s="6"/>
      <c r="S32" s="6"/>
      <c r="T32" s="6"/>
      <c r="U32" s="7"/>
    </row>
    <row r="33" ht="14" customHeight="1">
      <c r="A33" t="s" s="80">
        <v>51</v>
      </c>
      <c r="B33" s="149">
        <v>359.1</v>
      </c>
      <c r="C33" s="149">
        <v>362.5</v>
      </c>
      <c r="D33" s="149">
        <v>373.7</v>
      </c>
      <c r="E33" s="149">
        <v>393.6</v>
      </c>
      <c r="F33" s="149">
        <v>395</v>
      </c>
      <c r="G33" s="149">
        <v>392.5</v>
      </c>
      <c r="H33" s="149">
        <v>387.5</v>
      </c>
      <c r="I33" s="149">
        <v>387.3</v>
      </c>
      <c r="J33" s="149">
        <v>393.9</v>
      </c>
      <c r="K33" s="149">
        <v>275.3</v>
      </c>
      <c r="L33" s="149">
        <v>300.7</v>
      </c>
      <c r="M33" s="149">
        <v>311.5</v>
      </c>
      <c r="N33" s="149">
        <v>328.1</v>
      </c>
      <c r="O33" s="149"/>
      <c r="P33" s="6"/>
      <c r="Q33" s="6"/>
      <c r="R33" s="6"/>
      <c r="S33" s="6"/>
      <c r="T33" s="6"/>
      <c r="U33" s="7"/>
    </row>
    <row r="34" ht="14" customHeight="1">
      <c r="A34" t="s" s="80">
        <v>52</v>
      </c>
      <c r="B34" s="149">
        <v>78.7</v>
      </c>
      <c r="C34" s="149">
        <v>74.09999999999999</v>
      </c>
      <c r="D34" s="149">
        <v>83.09999999999999</v>
      </c>
      <c r="E34" s="149">
        <v>84.59999999999999</v>
      </c>
      <c r="F34" s="149">
        <v>84.59999999999999</v>
      </c>
      <c r="G34" s="149">
        <v>82.40000000000001</v>
      </c>
      <c r="H34" s="149">
        <v>73.8</v>
      </c>
      <c r="I34" s="149">
        <v>72</v>
      </c>
      <c r="J34" s="149">
        <v>71.2</v>
      </c>
      <c r="K34" s="149">
        <v>62.1</v>
      </c>
      <c r="L34" s="149">
        <v>64</v>
      </c>
      <c r="M34" s="149">
        <v>65.09999999999999</v>
      </c>
      <c r="N34" s="149">
        <v>68.40000000000001</v>
      </c>
      <c r="O34" s="149"/>
      <c r="P34" s="6"/>
      <c r="Q34" s="6"/>
      <c r="R34" s="6"/>
      <c r="S34" s="6"/>
      <c r="T34" s="6"/>
      <c r="U34" s="7"/>
    </row>
    <row r="35" ht="14" customHeight="1">
      <c r="A35" t="s" s="80">
        <v>53</v>
      </c>
      <c r="B35" s="149">
        <v>98.2</v>
      </c>
      <c r="C35" s="149">
        <v>100.4</v>
      </c>
      <c r="D35" s="149">
        <v>94</v>
      </c>
      <c r="E35" s="149">
        <v>95.5</v>
      </c>
      <c r="F35" s="149">
        <v>98.5</v>
      </c>
      <c r="G35" s="149">
        <v>101.4</v>
      </c>
      <c r="H35" s="149">
        <v>96.09999999999999</v>
      </c>
      <c r="I35" s="149">
        <v>96.09999999999999</v>
      </c>
      <c r="J35" s="149">
        <v>100</v>
      </c>
      <c r="K35" s="149">
        <v>78.3</v>
      </c>
      <c r="L35" s="149">
        <v>92</v>
      </c>
      <c r="M35" s="149">
        <v>90.2</v>
      </c>
      <c r="N35" s="149">
        <v>94</v>
      </c>
      <c r="O35" s="149"/>
      <c r="P35" s="6"/>
      <c r="Q35" s="6"/>
      <c r="R35" s="6"/>
      <c r="S35" s="6"/>
      <c r="T35" s="6"/>
      <c r="U35" s="7"/>
    </row>
    <row r="36" ht="14" customHeight="1">
      <c r="A36" t="s" s="80">
        <v>54</v>
      </c>
      <c r="B36" s="152">
        <v>0</v>
      </c>
      <c r="C36" s="152">
        <v>0</v>
      </c>
      <c r="D36" s="152">
        <v>0</v>
      </c>
      <c r="E36" s="152">
        <v>0</v>
      </c>
      <c r="F36" s="152">
        <v>0</v>
      </c>
      <c r="G36" s="152">
        <v>0</v>
      </c>
      <c r="H36" s="152">
        <v>0</v>
      </c>
      <c r="I36" s="152">
        <v>0</v>
      </c>
      <c r="J36" s="152">
        <v>0</v>
      </c>
      <c r="K36" s="152">
        <v>0</v>
      </c>
      <c r="L36" s="152">
        <v>0</v>
      </c>
      <c r="M36" s="152">
        <v>0</v>
      </c>
      <c r="N36" s="152">
        <v>0</v>
      </c>
      <c r="O36" s="149"/>
      <c r="P36" s="6"/>
      <c r="Q36" s="6"/>
      <c r="R36" s="6"/>
      <c r="S36" s="6"/>
      <c r="T36" s="6"/>
      <c r="U36" s="7"/>
    </row>
    <row r="37" ht="14" customHeight="1">
      <c r="A37" t="s" s="80">
        <v>55</v>
      </c>
      <c r="B37" s="149">
        <v>62.3</v>
      </c>
      <c r="C37" s="149">
        <v>72.40000000000001</v>
      </c>
      <c r="D37" s="149">
        <v>73.7</v>
      </c>
      <c r="E37" s="149">
        <v>77.09999999999999</v>
      </c>
      <c r="F37" s="149">
        <v>79</v>
      </c>
      <c r="G37" s="149">
        <v>73</v>
      </c>
      <c r="H37" s="149">
        <v>69.7</v>
      </c>
      <c r="I37" s="149">
        <v>71.90000000000001</v>
      </c>
      <c r="J37" s="149">
        <v>77</v>
      </c>
      <c r="K37" s="149">
        <v>64.40000000000001</v>
      </c>
      <c r="L37" s="149">
        <v>66.5</v>
      </c>
      <c r="M37" s="149">
        <v>64.5</v>
      </c>
      <c r="N37" s="149">
        <v>68</v>
      </c>
      <c r="O37" s="149"/>
      <c r="P37" s="6"/>
      <c r="Q37" s="6"/>
      <c r="R37" s="6"/>
      <c r="S37" s="6"/>
      <c r="T37" s="6"/>
      <c r="U37" s="7"/>
    </row>
    <row r="38" ht="14" customHeight="1">
      <c r="A38" t="s" s="80">
        <v>56</v>
      </c>
      <c r="B38" s="149">
        <v>120.3</v>
      </c>
      <c r="C38" s="149">
        <v>117.6</v>
      </c>
      <c r="D38" s="149">
        <v>113.8</v>
      </c>
      <c r="E38" s="149">
        <v>115.5</v>
      </c>
      <c r="F38" s="149">
        <v>116.1</v>
      </c>
      <c r="G38" s="149">
        <v>123.6</v>
      </c>
      <c r="H38" s="149">
        <v>117.7</v>
      </c>
      <c r="I38" s="149">
        <v>116.1</v>
      </c>
      <c r="J38" s="149">
        <v>119.3</v>
      </c>
      <c r="K38" s="149">
        <v>97.09999999999999</v>
      </c>
      <c r="L38" s="149">
        <v>108.4</v>
      </c>
      <c r="M38" s="149">
        <v>107.5</v>
      </c>
      <c r="N38" s="149">
        <v>119.7</v>
      </c>
      <c r="O38" s="149"/>
      <c r="P38" s="6"/>
      <c r="Q38" s="6"/>
      <c r="R38" s="6"/>
      <c r="S38" s="6"/>
      <c r="T38" s="6"/>
      <c r="U38" s="7"/>
    </row>
    <row r="39" ht="14" customHeight="1">
      <c r="A39" t="s" s="153">
        <v>84</v>
      </c>
      <c r="B39" s="154">
        <f>B25+B26+B32</f>
        <v>929</v>
      </c>
      <c r="C39" s="154">
        <f>C25+C26+C32</f>
        <v>952.2</v>
      </c>
      <c r="D39" s="154">
        <f>D25+D26+D32</f>
        <v>947.1</v>
      </c>
      <c r="E39" s="154">
        <f>E25+E26+E32</f>
        <v>973</v>
      </c>
      <c r="F39" s="154">
        <f>F25+F26+F32</f>
        <v>984.6</v>
      </c>
      <c r="G39" s="154">
        <f>G25+G26+G32</f>
        <v>989.2</v>
      </c>
      <c r="H39" s="154">
        <f>H25+H26+H32</f>
        <v>945.9</v>
      </c>
      <c r="I39" s="154">
        <f>I25+I26+I32</f>
        <v>948.9</v>
      </c>
      <c r="J39" s="154">
        <f>J25+J26+J32</f>
        <v>966.8</v>
      </c>
      <c r="K39" s="154">
        <f>K25+K26+K32</f>
        <v>758.5</v>
      </c>
      <c r="L39" s="154">
        <f>L25+L26+L32</f>
        <v>816.5</v>
      </c>
      <c r="M39" s="154">
        <f>M25+M26+M32</f>
        <v>817.7</v>
      </c>
      <c r="N39" s="154">
        <f>N25+N26+N32</f>
        <v>857.2</v>
      </c>
      <c r="O39" s="149"/>
      <c r="P39" s="6"/>
      <c r="Q39" s="6"/>
      <c r="R39" s="6"/>
      <c r="S39" s="6"/>
      <c r="T39" s="6"/>
      <c r="U39" s="7"/>
    </row>
    <row r="40" ht="14" customHeight="1">
      <c r="A40" s="141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6"/>
      <c r="Q40" s="6"/>
      <c r="R40" s="6"/>
      <c r="S40" s="6"/>
      <c r="T40" s="6"/>
      <c r="U40" s="7"/>
    </row>
    <row r="41" ht="14" customHeight="1">
      <c r="A41" s="141"/>
      <c r="B41" t="s" s="156">
        <v>85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49"/>
      <c r="P41" s="6"/>
      <c r="Q41" s="6"/>
      <c r="R41" s="6"/>
      <c r="S41" s="6"/>
      <c r="T41" s="6"/>
      <c r="U41" s="7"/>
    </row>
    <row r="42" ht="14" customHeight="1">
      <c r="A42" t="s" s="80">
        <v>46</v>
      </c>
      <c r="B42" s="149">
        <f>B8+B25</f>
        <v>200.1</v>
      </c>
      <c r="C42" s="149">
        <f>C8+C25</f>
        <v>205.1</v>
      </c>
      <c r="D42" s="149">
        <f>D8+D25</f>
        <v>199.8</v>
      </c>
      <c r="E42" s="149">
        <f>E8+E25</f>
        <v>202.4</v>
      </c>
      <c r="F42" s="149">
        <f>F8+F25</f>
        <v>211.2</v>
      </c>
      <c r="G42" s="149">
        <f>G8+G25</f>
        <v>225.4</v>
      </c>
      <c r="H42" s="149">
        <f>H8+H25</f>
        <v>222</v>
      </c>
      <c r="I42" s="149">
        <f>I8+I25</f>
        <v>231.5</v>
      </c>
      <c r="J42" s="149">
        <f>J8+J25</f>
        <v>229.1</v>
      </c>
      <c r="K42" s="149">
        <f>K8+K25</f>
        <v>213.6</v>
      </c>
      <c r="L42" s="149">
        <f>L8+L25</f>
        <v>202.2</v>
      </c>
      <c r="M42" s="149">
        <f>M8+M25</f>
        <v>198.2</v>
      </c>
      <c r="N42" s="149">
        <f>N8+N25</f>
        <v>203.2</v>
      </c>
      <c r="O42" s="149"/>
      <c r="P42" s="6"/>
      <c r="Q42" s="6"/>
      <c r="R42" s="6"/>
      <c r="S42" s="6"/>
      <c r="T42" s="6"/>
      <c r="U42" s="7"/>
    </row>
    <row r="43" ht="14" customHeight="1">
      <c r="A43" t="s" s="158">
        <v>79</v>
      </c>
      <c r="B43" s="154">
        <f>B9+B26</f>
        <v>475.7</v>
      </c>
      <c r="C43" s="154">
        <f>C9+C26</f>
        <v>495</v>
      </c>
      <c r="D43" s="154">
        <f>D9+D26</f>
        <v>462.7</v>
      </c>
      <c r="E43" s="154">
        <f>E9+E26</f>
        <v>465.2</v>
      </c>
      <c r="F43" s="154">
        <f>F9+F26</f>
        <v>473.9</v>
      </c>
      <c r="G43" s="154">
        <f>G9+G26</f>
        <v>468</v>
      </c>
      <c r="H43" s="154">
        <f>H9+H26</f>
        <v>475.4</v>
      </c>
      <c r="I43" s="154">
        <f>I9+I26</f>
        <v>477.5</v>
      </c>
      <c r="J43" s="154">
        <f>J9+J26</f>
        <v>457.1</v>
      </c>
      <c r="K43" s="154">
        <f>K9+K26</f>
        <v>395.3</v>
      </c>
      <c r="L43" s="154">
        <f>L9+L26</f>
        <v>407.2</v>
      </c>
      <c r="M43" s="154">
        <f>M9+M26</f>
        <v>413</v>
      </c>
      <c r="N43" s="154">
        <f>N9+N26</f>
        <v>439.7</v>
      </c>
      <c r="O43" s="149"/>
      <c r="P43" s="6"/>
      <c r="Q43" s="6"/>
      <c r="R43" s="6"/>
      <c r="S43" s="6"/>
      <c r="T43" s="6"/>
      <c r="U43" s="7"/>
    </row>
    <row r="44" ht="14" customHeight="1">
      <c r="A44" t="s" s="158">
        <v>80</v>
      </c>
      <c r="B44" s="154">
        <f>B10+B27</f>
        <v>265.2</v>
      </c>
      <c r="C44" s="154">
        <f>C10+C27</f>
        <v>260.7</v>
      </c>
      <c r="D44" s="154">
        <f>D10+D27</f>
        <v>255.8</v>
      </c>
      <c r="E44" s="154">
        <f>E10+E27</f>
        <v>258.7</v>
      </c>
      <c r="F44" s="154">
        <f>F10+F27</f>
        <v>253</v>
      </c>
      <c r="G44" s="154">
        <f>G10+G27</f>
        <v>249.2</v>
      </c>
      <c r="H44" s="154">
        <f>H10+H27</f>
        <v>255.2</v>
      </c>
      <c r="I44" s="154">
        <f>I10+I27</f>
        <v>252.3</v>
      </c>
      <c r="J44" s="154">
        <f>J10+J27</f>
        <v>243.2</v>
      </c>
      <c r="K44" s="154">
        <f>K10+K27</f>
        <v>206.5</v>
      </c>
      <c r="L44" s="154">
        <f>L10+L27</f>
        <v>207.5</v>
      </c>
      <c r="M44" s="154">
        <f>M10+M27</f>
        <v>203.8</v>
      </c>
      <c r="N44" s="154">
        <f>N10+N27</f>
        <v>217.1</v>
      </c>
      <c r="O44" s="149"/>
      <c r="P44" s="6"/>
      <c r="Q44" s="6"/>
      <c r="R44" s="6"/>
      <c r="S44" s="6"/>
      <c r="T44" s="6"/>
      <c r="U44" s="7"/>
    </row>
    <row r="45" ht="14" customHeight="1">
      <c r="A45" t="s" s="80">
        <v>47</v>
      </c>
      <c r="B45" s="149">
        <f>B11+B28</f>
        <v>151.3</v>
      </c>
      <c r="C45" s="149">
        <f>C11+C28</f>
        <v>142.9</v>
      </c>
      <c r="D45" s="149">
        <f>D11+D28</f>
        <v>141.4</v>
      </c>
      <c r="E45" s="149">
        <f>E11+E28</f>
        <v>144.8</v>
      </c>
      <c r="F45" s="149">
        <f>F11+F28</f>
        <v>140.1</v>
      </c>
      <c r="G45" s="149">
        <f>G11+G28</f>
        <v>140.1</v>
      </c>
      <c r="H45" s="149">
        <f>H11+H28</f>
        <v>141.3</v>
      </c>
      <c r="I45" s="149">
        <f>I11+I28</f>
        <v>140.2</v>
      </c>
      <c r="J45" s="149">
        <f>J11+J28</f>
        <v>135.8</v>
      </c>
      <c r="K45" s="149">
        <f>K11+K28</f>
        <v>112.8</v>
      </c>
      <c r="L45" s="149">
        <f>L11+L28</f>
        <v>119.4</v>
      </c>
      <c r="M45" s="149">
        <f>M11+M28</f>
        <v>118</v>
      </c>
      <c r="N45" s="149">
        <f>N11+N28</f>
        <v>123</v>
      </c>
      <c r="O45" s="149"/>
      <c r="P45" s="6"/>
      <c r="Q45" s="6"/>
      <c r="R45" s="6"/>
      <c r="S45" s="6"/>
      <c r="T45" s="6"/>
      <c r="U45" s="7"/>
    </row>
    <row r="46" ht="14" customHeight="1">
      <c r="A46" t="s" s="80">
        <v>48</v>
      </c>
      <c r="B46" s="149">
        <f>B12+B29</f>
        <v>75.5</v>
      </c>
      <c r="C46" s="149">
        <f>C12+C29</f>
        <v>74.8</v>
      </c>
      <c r="D46" s="149">
        <f>D12+D29</f>
        <v>72.8</v>
      </c>
      <c r="E46" s="149">
        <f>E12+E29</f>
        <v>71.2</v>
      </c>
      <c r="F46" s="149">
        <f>F12+F29</f>
        <v>69.90000000000001</v>
      </c>
      <c r="G46" s="149">
        <f>G12+G29</f>
        <v>67.7</v>
      </c>
      <c r="H46" s="149">
        <f>H12+H29</f>
        <v>70.2</v>
      </c>
      <c r="I46" s="149">
        <f>I12+I29</f>
        <v>69.09999999999999</v>
      </c>
      <c r="J46" s="149">
        <f>J12+J29</f>
        <v>68.5</v>
      </c>
      <c r="K46" s="149">
        <f>K12+K29</f>
        <v>59.4</v>
      </c>
      <c r="L46" s="149">
        <f>L12+L29</f>
        <v>56.7</v>
      </c>
      <c r="M46" s="149">
        <f>M12+M29</f>
        <v>53.9</v>
      </c>
      <c r="N46" s="149">
        <f>N12+N29</f>
        <v>60.6</v>
      </c>
      <c r="O46" s="149"/>
      <c r="P46" s="6"/>
      <c r="Q46" s="6"/>
      <c r="R46" s="6"/>
      <c r="S46" s="6"/>
      <c r="T46" s="6"/>
      <c r="U46" s="7"/>
    </row>
    <row r="47" ht="14" customHeight="1">
      <c r="A47" t="s" s="80">
        <v>49</v>
      </c>
      <c r="B47" s="149">
        <f>B13+B30</f>
        <v>38.4</v>
      </c>
      <c r="C47" s="149">
        <f>C13+C30</f>
        <v>43</v>
      </c>
      <c r="D47" s="149">
        <f>D13+D30</f>
        <v>41.6</v>
      </c>
      <c r="E47" s="149">
        <f>E13+E30</f>
        <v>42.7</v>
      </c>
      <c r="F47" s="149">
        <f>F13+F30</f>
        <v>43</v>
      </c>
      <c r="G47" s="149">
        <f>G13+G30</f>
        <v>41.4</v>
      </c>
      <c r="H47" s="149">
        <f>H13+H30</f>
        <v>43.7</v>
      </c>
      <c r="I47" s="149">
        <f>I13+I30</f>
        <v>43</v>
      </c>
      <c r="J47" s="149">
        <f>J13+J30</f>
        <v>38.9</v>
      </c>
      <c r="K47" s="149">
        <f>K13+K30</f>
        <v>34.3</v>
      </c>
      <c r="L47" s="149">
        <f>L13+L30</f>
        <v>31.4</v>
      </c>
      <c r="M47" s="149">
        <f>M13+M30</f>
        <v>31.9</v>
      </c>
      <c r="N47" s="149">
        <f>N13+N30</f>
        <v>33.5</v>
      </c>
      <c r="O47" s="149"/>
      <c r="P47" s="6"/>
      <c r="Q47" s="6"/>
      <c r="R47" s="6"/>
      <c r="S47" s="6"/>
      <c r="T47" s="6"/>
      <c r="U47" s="7"/>
    </row>
    <row r="48" ht="14" customHeight="1">
      <c r="A48" t="s" s="80">
        <v>50</v>
      </c>
      <c r="B48" s="149">
        <f>B14+B31</f>
        <v>210.5</v>
      </c>
      <c r="C48" s="149">
        <f>C14+C31</f>
        <v>234.3</v>
      </c>
      <c r="D48" s="149">
        <f>D14+D31</f>
        <v>206.9</v>
      </c>
      <c r="E48" s="149">
        <f>E14+E31</f>
        <v>206.5</v>
      </c>
      <c r="F48" s="149">
        <f>F14+F31</f>
        <v>220.9</v>
      </c>
      <c r="G48" s="149">
        <f>G14+G31</f>
        <v>218.8</v>
      </c>
      <c r="H48" s="149">
        <f>H14+H31</f>
        <v>220.2</v>
      </c>
      <c r="I48" s="149">
        <f>I14+I31</f>
        <v>225.2</v>
      </c>
      <c r="J48" s="149">
        <f>J14+J31</f>
        <v>213.9</v>
      </c>
      <c r="K48" s="149">
        <f>K14+K31</f>
        <v>188.8</v>
      </c>
      <c r="L48" s="149">
        <f>L14+L31</f>
        <v>199.7</v>
      </c>
      <c r="M48" s="149">
        <f>M14+M31</f>
        <v>209.2</v>
      </c>
      <c r="N48" s="149">
        <f>N14+N31</f>
        <v>222.6</v>
      </c>
      <c r="O48" s="149"/>
      <c r="P48" s="6"/>
      <c r="Q48" s="6"/>
      <c r="R48" s="6"/>
      <c r="S48" s="6"/>
      <c r="T48" s="6"/>
      <c r="U48" s="7"/>
    </row>
    <row r="49" ht="14" customHeight="1">
      <c r="A49" t="s" s="158">
        <v>81</v>
      </c>
      <c r="B49" s="154">
        <f>B15+B32</f>
        <v>2607.6</v>
      </c>
      <c r="C49" s="154">
        <f>C15+C32</f>
        <v>2600.1</v>
      </c>
      <c r="D49" s="154">
        <f>D15+D32</f>
        <v>2606.9</v>
      </c>
      <c r="E49" s="154">
        <f>E15+E32</f>
        <v>2777.1</v>
      </c>
      <c r="F49" s="154">
        <f>F15+F32</f>
        <v>2846.1</v>
      </c>
      <c r="G49" s="154">
        <f>G15+G32</f>
        <v>2832.2</v>
      </c>
      <c r="H49" s="154">
        <f>H15+H32</f>
        <v>2875.6</v>
      </c>
      <c r="I49" s="154">
        <f>I15+I32</f>
        <v>2823.6</v>
      </c>
      <c r="J49" s="154">
        <f>J15+J32</f>
        <v>2817.5</v>
      </c>
      <c r="K49" s="154">
        <f>K15+K32</f>
        <v>2265.7</v>
      </c>
      <c r="L49" s="154">
        <f>L15+L32</f>
        <v>2374</v>
      </c>
      <c r="M49" s="154">
        <f>M15+M32</f>
        <v>2375</v>
      </c>
      <c r="N49" s="154">
        <f>N15+N32</f>
        <v>2488.6</v>
      </c>
      <c r="O49" s="149"/>
      <c r="P49" s="6"/>
      <c r="Q49" s="6"/>
      <c r="R49" s="6"/>
      <c r="S49" s="6"/>
      <c r="T49" s="6"/>
      <c r="U49" s="7"/>
    </row>
    <row r="50" ht="14" customHeight="1">
      <c r="A50" t="s" s="80">
        <v>51</v>
      </c>
      <c r="B50" s="149">
        <f>B16+B33</f>
        <v>938.5</v>
      </c>
      <c r="C50" s="149">
        <f>C16+C33</f>
        <v>952</v>
      </c>
      <c r="D50" s="149">
        <f>D16+D33</f>
        <v>955.3</v>
      </c>
      <c r="E50" s="149">
        <f>E16+E33</f>
        <v>1005</v>
      </c>
      <c r="F50" s="149">
        <f>F16+F33</f>
        <v>1038.8</v>
      </c>
      <c r="G50" s="149">
        <f>G16+G33</f>
        <v>1031.8</v>
      </c>
      <c r="H50" s="149">
        <f>H16+H33</f>
        <v>1068.2</v>
      </c>
      <c r="I50" s="149">
        <f>I16+I33</f>
        <v>1049.9</v>
      </c>
      <c r="J50" s="149">
        <f>J16+J33</f>
        <v>1051.9</v>
      </c>
      <c r="K50" s="149">
        <f>K16+K33</f>
        <v>765.6</v>
      </c>
      <c r="L50" s="149">
        <f>L16+L33</f>
        <v>815.9</v>
      </c>
      <c r="M50" s="149">
        <f>M16+M33</f>
        <v>863.1</v>
      </c>
      <c r="N50" s="149">
        <f>N16+N33</f>
        <v>927.7</v>
      </c>
      <c r="O50" s="149"/>
      <c r="P50" s="6"/>
      <c r="Q50" s="6"/>
      <c r="R50" s="6"/>
      <c r="S50" s="6"/>
      <c r="T50" s="6"/>
      <c r="U50" s="7"/>
    </row>
    <row r="51" ht="14" customHeight="1">
      <c r="A51" t="s" s="80">
        <v>52</v>
      </c>
      <c r="B51" s="149">
        <f>B17+B34</f>
        <v>116.8</v>
      </c>
      <c r="C51" s="149">
        <f>C17+C34</f>
        <v>113.8</v>
      </c>
      <c r="D51" s="149">
        <f>D17+D34</f>
        <v>122.7</v>
      </c>
      <c r="E51" s="149">
        <f>E17+E34</f>
        <v>126</v>
      </c>
      <c r="F51" s="149">
        <f>F17+F34</f>
        <v>129.4</v>
      </c>
      <c r="G51" s="149">
        <f>G17+G34</f>
        <v>125.1</v>
      </c>
      <c r="H51" s="149">
        <f>H17+H34</f>
        <v>119.1</v>
      </c>
      <c r="I51" s="149">
        <f>I17+I34</f>
        <v>114.6</v>
      </c>
      <c r="J51" s="149">
        <f>J17+J34</f>
        <v>110.1</v>
      </c>
      <c r="K51" s="149">
        <f>K17+K34</f>
        <v>95.7</v>
      </c>
      <c r="L51" s="149">
        <f>L17+L34</f>
        <v>96.8</v>
      </c>
      <c r="M51" s="149">
        <f>M17+M34</f>
        <v>98.90000000000001</v>
      </c>
      <c r="N51" s="149">
        <f>N17+N34</f>
        <v>102.9</v>
      </c>
      <c r="O51" s="149"/>
      <c r="P51" s="6"/>
      <c r="Q51" s="6"/>
      <c r="R51" s="6"/>
      <c r="S51" s="6"/>
      <c r="T51" s="6"/>
      <c r="U51" s="7"/>
    </row>
    <row r="52" ht="14" customHeight="1">
      <c r="A52" t="s" s="80">
        <v>53</v>
      </c>
      <c r="B52" s="149">
        <f>B18+B35</f>
        <v>229.3</v>
      </c>
      <c r="C52" s="149">
        <f>C18+C35</f>
        <v>246.9</v>
      </c>
      <c r="D52" s="149">
        <f>D18+D35</f>
        <v>233.1</v>
      </c>
      <c r="E52" s="149">
        <f>E18+E35</f>
        <v>238.1</v>
      </c>
      <c r="F52" s="149">
        <f>F18+F35</f>
        <v>251</v>
      </c>
      <c r="G52" s="149">
        <f>G18+G35</f>
        <v>256.4</v>
      </c>
      <c r="H52" s="149">
        <f>H18+H35</f>
        <v>259.9</v>
      </c>
      <c r="I52" s="149">
        <f>I18+I35</f>
        <v>260.8</v>
      </c>
      <c r="J52" s="149">
        <f>J18+J35</f>
        <v>274.8</v>
      </c>
      <c r="K52" s="149">
        <f>K18+K35</f>
        <v>222.7</v>
      </c>
      <c r="L52" s="149">
        <f>L18+L35</f>
        <v>229.5</v>
      </c>
      <c r="M52" s="149">
        <f>M18+M35</f>
        <v>219.3</v>
      </c>
      <c r="N52" s="149">
        <f>N18+N35</f>
        <v>220.6</v>
      </c>
      <c r="O52" s="149"/>
      <c r="P52" s="6"/>
      <c r="Q52" s="6"/>
      <c r="R52" s="6"/>
      <c r="S52" s="6"/>
      <c r="T52" s="6"/>
      <c r="U52" s="7"/>
    </row>
    <row r="53" ht="14" customHeight="1">
      <c r="A53" t="s" s="80">
        <v>54</v>
      </c>
      <c r="B53" s="149">
        <f>B19+B36</f>
        <v>0</v>
      </c>
      <c r="C53" s="149">
        <f>C19+C36</f>
        <v>0</v>
      </c>
      <c r="D53" s="149">
        <f>D19+D36</f>
        <v>0</v>
      </c>
      <c r="E53" s="149">
        <f>E19+E36</f>
        <v>0</v>
      </c>
      <c r="F53" s="149">
        <f>F19+F36</f>
        <v>0</v>
      </c>
      <c r="G53" s="149">
        <f>G19+G36</f>
        <v>0</v>
      </c>
      <c r="H53" s="149">
        <f>H19+H36</f>
        <v>0</v>
      </c>
      <c r="I53" s="149">
        <f>I19+I36</f>
        <v>0</v>
      </c>
      <c r="J53" s="149">
        <f>J19+J36</f>
        <v>0</v>
      </c>
      <c r="K53" s="149">
        <f>K19+K36</f>
        <v>0</v>
      </c>
      <c r="L53" s="149">
        <f>L19+L36</f>
        <v>0</v>
      </c>
      <c r="M53" s="149">
        <f>M19+M36</f>
        <v>0</v>
      </c>
      <c r="N53" s="149">
        <f>N19+N36</f>
        <v>0</v>
      </c>
      <c r="O53" s="149"/>
      <c r="P53" s="6"/>
      <c r="Q53" s="6"/>
      <c r="R53" s="6"/>
      <c r="S53" s="6"/>
      <c r="T53" s="6"/>
      <c r="U53" s="7"/>
    </row>
    <row r="54" ht="14" customHeight="1">
      <c r="A54" t="s" s="80">
        <v>55</v>
      </c>
      <c r="B54" s="149">
        <f>B20+B37</f>
        <v>234.3</v>
      </c>
      <c r="C54" s="149">
        <f>C20+C37</f>
        <v>260.4</v>
      </c>
      <c r="D54" s="149">
        <f>D20+D37</f>
        <v>261</v>
      </c>
      <c r="E54" s="149">
        <f>E20+E37</f>
        <v>277</v>
      </c>
      <c r="F54" s="149">
        <f>F20+F37</f>
        <v>280.1</v>
      </c>
      <c r="G54" s="149">
        <f>G20+G37</f>
        <v>272.9</v>
      </c>
      <c r="H54" s="149">
        <f>H20+H37</f>
        <v>276</v>
      </c>
      <c r="I54" s="149">
        <f>I20+I37</f>
        <v>267.5</v>
      </c>
      <c r="J54" s="149">
        <f>J20+J37</f>
        <v>271.2</v>
      </c>
      <c r="K54" s="149">
        <f>K20+K37</f>
        <v>253.6</v>
      </c>
      <c r="L54" s="149">
        <f>L20+L37</f>
        <v>238.6</v>
      </c>
      <c r="M54" s="149">
        <f>M20+M37</f>
        <v>224.2</v>
      </c>
      <c r="N54" s="149">
        <f>N20+N37</f>
        <v>227.6</v>
      </c>
      <c r="O54" s="149"/>
      <c r="P54" s="6"/>
      <c r="Q54" s="6"/>
      <c r="R54" s="6"/>
      <c r="S54" s="6"/>
      <c r="T54" s="6"/>
      <c r="U54" s="7"/>
    </row>
    <row r="55" ht="14" customHeight="1">
      <c r="A55" t="s" s="80">
        <v>56</v>
      </c>
      <c r="B55" s="149">
        <f>B21+B38</f>
        <v>1088.7</v>
      </c>
      <c r="C55" s="149">
        <f>C21+C38</f>
        <v>1027</v>
      </c>
      <c r="D55" s="149">
        <f>D21+D38</f>
        <v>1034.8</v>
      </c>
      <c r="E55" s="149">
        <f>E21+E38</f>
        <v>1131</v>
      </c>
      <c r="F55" s="149">
        <f>F21+F38</f>
        <v>1146.8</v>
      </c>
      <c r="G55" s="149">
        <f>G21+G38</f>
        <v>1146</v>
      </c>
      <c r="H55" s="149">
        <f>H21+H38</f>
        <v>1152.4</v>
      </c>
      <c r="I55" s="149">
        <f>I21+I38</f>
        <v>1130.8</v>
      </c>
      <c r="J55" s="149">
        <f>J21+J38</f>
        <v>1109.5</v>
      </c>
      <c r="K55" s="149">
        <f>K21+K38</f>
        <v>928.1</v>
      </c>
      <c r="L55" s="149">
        <f>L21+L38</f>
        <v>993.2</v>
      </c>
      <c r="M55" s="149">
        <f>M21+M38</f>
        <v>969.5</v>
      </c>
      <c r="N55" s="149">
        <f>N21+N38</f>
        <v>1009.8</v>
      </c>
      <c r="O55" s="149"/>
      <c r="P55" s="6"/>
      <c r="Q55" s="6"/>
      <c r="R55" s="6"/>
      <c r="S55" s="6"/>
      <c r="T55" s="6"/>
      <c r="U55" s="7"/>
    </row>
    <row r="56" ht="14" customHeight="1">
      <c r="A56" t="s" s="159">
        <v>86</v>
      </c>
      <c r="B56" s="160">
        <f>B22+B39</f>
        <v>3283.4</v>
      </c>
      <c r="C56" s="160">
        <f>C22+C39</f>
        <v>3300.2</v>
      </c>
      <c r="D56" s="160">
        <f>D22+D39</f>
        <v>3269.4</v>
      </c>
      <c r="E56" s="160">
        <f>E22+E39</f>
        <v>3444.7</v>
      </c>
      <c r="F56" s="160">
        <f>F22+F39</f>
        <v>3531.2</v>
      </c>
      <c r="G56" s="160">
        <f>G22+G39</f>
        <v>3525.6</v>
      </c>
      <c r="H56" s="160">
        <f>H22+H39</f>
        <v>3573</v>
      </c>
      <c r="I56" s="160">
        <f>I22+I39</f>
        <v>3532.6</v>
      </c>
      <c r="J56" s="160">
        <f>J22+J39</f>
        <v>3503.7</v>
      </c>
      <c r="K56" s="160">
        <f>K22+K39</f>
        <v>2874.6</v>
      </c>
      <c r="L56" s="160">
        <f>L22+L39</f>
        <v>2983.4</v>
      </c>
      <c r="M56" s="160">
        <f>M22+M39</f>
        <v>2986.2</v>
      </c>
      <c r="N56" s="160">
        <f>N22+N39</f>
        <v>3131.5</v>
      </c>
      <c r="O56" s="149"/>
      <c r="P56" s="6"/>
      <c r="Q56" s="6"/>
      <c r="R56" s="6"/>
      <c r="S56" s="6"/>
      <c r="T56" s="6"/>
      <c r="U56" s="7"/>
    </row>
    <row r="57" ht="14" customHeight="1">
      <c r="A57" s="161"/>
      <c r="B57" s="162"/>
      <c r="C57" s="162"/>
      <c r="D57" s="162"/>
      <c r="E57" s="162"/>
      <c r="F57" s="162"/>
      <c r="G57" s="162"/>
      <c r="H57" s="162"/>
      <c r="I57" s="162"/>
      <c r="J57" s="162"/>
      <c r="K57" s="148"/>
      <c r="L57" s="148"/>
      <c r="M57" s="148"/>
      <c r="N57" s="162"/>
      <c r="O57" s="6"/>
      <c r="P57" s="6"/>
      <c r="Q57" s="6"/>
      <c r="R57" s="6"/>
      <c r="S57" s="6"/>
      <c r="T57" s="6"/>
      <c r="U57" s="7"/>
    </row>
    <row r="58" ht="14" customHeight="1">
      <c r="A58" s="163"/>
      <c r="B58" s="164"/>
      <c r="C58" s="165"/>
      <c r="D58" s="165"/>
      <c r="E58" s="165"/>
      <c r="F58" s="165"/>
      <c r="G58" s="165"/>
      <c r="H58" s="165"/>
      <c r="I58" s="165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85"/>
    </row>
  </sheetData>
  <mergeCells count="3">
    <mergeCell ref="B7:M7"/>
    <mergeCell ref="B24:N24"/>
    <mergeCell ref="B41:N4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O74"/>
  <sheetViews>
    <sheetView workbookViewId="0" showGridLines="0" defaultGridColor="1"/>
  </sheetViews>
  <sheetFormatPr defaultColWidth="9.16667" defaultRowHeight="15" customHeight="1" outlineLevelRow="0" outlineLevelCol="0"/>
  <cols>
    <col min="1" max="1" width="42.3516" style="166" customWidth="1"/>
    <col min="2" max="15" width="9.17188" style="166" customWidth="1"/>
    <col min="16" max="16384" width="9.17188" style="166" customWidth="1"/>
  </cols>
  <sheetData>
    <row r="1" ht="13.5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5.75" customHeight="1">
      <c r="A2" t="s" s="5">
        <v>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3.55" customHeight="1">
      <c r="A3" s="14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ht="13.55" customHeight="1">
      <c r="A4" s="14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ht="13.55" customHeight="1">
      <c r="A5" s="8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7"/>
    </row>
    <row r="6" ht="14" customHeight="1">
      <c r="A6" s="142"/>
      <c r="B6" s="167">
        <v>2011</v>
      </c>
      <c r="C6" s="167">
        <v>2012</v>
      </c>
      <c r="D6" s="167">
        <v>2013</v>
      </c>
      <c r="E6" s="167">
        <v>2014</v>
      </c>
      <c r="F6" s="167">
        <v>2015</v>
      </c>
      <c r="G6" s="167">
        <v>2016</v>
      </c>
      <c r="H6" s="167">
        <v>2017</v>
      </c>
      <c r="I6" s="167">
        <v>2018</v>
      </c>
      <c r="J6" s="167">
        <v>2019</v>
      </c>
      <c r="K6" s="167">
        <v>2020</v>
      </c>
      <c r="L6" s="167">
        <v>2021</v>
      </c>
      <c r="M6" s="167">
        <v>2022</v>
      </c>
      <c r="N6" s="167">
        <v>2023</v>
      </c>
      <c r="O6" s="7"/>
    </row>
    <row r="7" ht="14" customHeight="1">
      <c r="A7" s="145"/>
      <c r="B7" t="s" s="146">
        <v>78</v>
      </c>
      <c r="C7" s="147"/>
      <c r="D7" s="147"/>
      <c r="E7" s="147"/>
      <c r="F7" s="147"/>
      <c r="G7" s="147"/>
      <c r="H7" s="147"/>
      <c r="I7" s="147"/>
      <c r="J7" s="168"/>
      <c r="K7" s="168"/>
      <c r="L7" s="168"/>
      <c r="M7" s="168"/>
      <c r="N7" s="148"/>
      <c r="O7" s="7"/>
    </row>
    <row r="8" ht="14" customHeight="1">
      <c r="A8" t="s" s="169">
        <v>46</v>
      </c>
      <c r="B8" s="150">
        <v>35.8933333333333</v>
      </c>
      <c r="C8" s="150">
        <v>36.1088655348963</v>
      </c>
      <c r="D8" s="150">
        <v>36.7223896958071</v>
      </c>
      <c r="E8" s="150">
        <v>37.3759055540649</v>
      </c>
      <c r="F8" s="150">
        <v>38.8216728037875</v>
      </c>
      <c r="G8" s="150">
        <v>39.0542907180385</v>
      </c>
      <c r="H8" s="150">
        <v>39.0563241106719</v>
      </c>
      <c r="I8" s="150">
        <v>39.5124306058412</v>
      </c>
      <c r="J8" s="150">
        <v>39.0473827834284</v>
      </c>
      <c r="K8" s="150">
        <v>37.6059594143334</v>
      </c>
      <c r="L8" s="150">
        <v>35.1127819548872</v>
      </c>
      <c r="M8" s="150">
        <v>34.2418235877106</v>
      </c>
      <c r="N8" s="150">
        <v>35.0478468899522</v>
      </c>
      <c r="O8" s="170"/>
    </row>
    <row r="9" ht="14" customHeight="1">
      <c r="A9" t="s" s="158">
        <v>79</v>
      </c>
      <c r="B9" s="154">
        <v>7.77913648763052</v>
      </c>
      <c r="C9" s="154">
        <v>8.43227466112595</v>
      </c>
      <c r="D9" s="154">
        <v>8.28904042106355</v>
      </c>
      <c r="E9" s="154">
        <v>8.4812363195232</v>
      </c>
      <c r="F9" s="154">
        <v>8.577515913514651</v>
      </c>
      <c r="G9" s="154">
        <v>8.259571840263479</v>
      </c>
      <c r="H9" s="154">
        <v>8.55834197940127</v>
      </c>
      <c r="I9" s="154">
        <v>8.457364726965</v>
      </c>
      <c r="J9" s="154">
        <v>8.013678263455249</v>
      </c>
      <c r="K9" s="154">
        <v>7.7081220361284</v>
      </c>
      <c r="L9" s="154">
        <v>6.93709295802132</v>
      </c>
      <c r="M9" s="154">
        <v>6.85148514851485</v>
      </c>
      <c r="N9" s="154">
        <v>7.12090278868373</v>
      </c>
      <c r="O9" s="170"/>
    </row>
    <row r="10" ht="14" customHeight="1">
      <c r="A10" t="s" s="158">
        <v>80</v>
      </c>
      <c r="B10" s="154">
        <v>6.08766973480361</v>
      </c>
      <c r="C10" s="154">
        <v>6.19396388432883</v>
      </c>
      <c r="D10" s="154">
        <v>6.24593575237352</v>
      </c>
      <c r="E10" s="154">
        <v>6.35159937073938</v>
      </c>
      <c r="F10" s="154">
        <v>6.2081857536403</v>
      </c>
      <c r="G10" s="154">
        <v>5.93964246812328</v>
      </c>
      <c r="H10" s="154">
        <v>6.13234275640622</v>
      </c>
      <c r="I10" s="154">
        <v>5.98123897092969</v>
      </c>
      <c r="J10" s="154">
        <v>5.6793562364593</v>
      </c>
      <c r="K10" s="154">
        <v>5.46212695568268</v>
      </c>
      <c r="L10" s="154">
        <v>4.78146359816893</v>
      </c>
      <c r="M10" s="154">
        <v>4.69208211143695</v>
      </c>
      <c r="N10" s="154">
        <v>4.80646785322948</v>
      </c>
      <c r="O10" s="170"/>
    </row>
    <row r="11" ht="14" customHeight="1">
      <c r="A11" t="s" s="169">
        <v>47</v>
      </c>
      <c r="B11" s="150">
        <v>8.025421223765891</v>
      </c>
      <c r="C11" s="150">
        <v>7.59956440572495</v>
      </c>
      <c r="D11" s="150">
        <v>7.74472861380582</v>
      </c>
      <c r="E11" s="150">
        <v>8.06609148624451</v>
      </c>
      <c r="F11" s="150">
        <v>7.80763558905456</v>
      </c>
      <c r="G11" s="150">
        <v>7.58864110380234</v>
      </c>
      <c r="H11" s="150">
        <v>7.818052594172</v>
      </c>
      <c r="I11" s="150">
        <v>7.77725563909774</v>
      </c>
      <c r="J11" s="150">
        <v>7.36157882371368</v>
      </c>
      <c r="K11" s="150">
        <v>7.16114871044448</v>
      </c>
      <c r="L11" s="150">
        <v>6.54320987654321</v>
      </c>
      <c r="M11" s="150">
        <v>6.53459019012622</v>
      </c>
      <c r="N11" s="150">
        <v>6.47620514400123</v>
      </c>
      <c r="O11" s="170"/>
    </row>
    <row r="12" ht="14" customHeight="1">
      <c r="A12" t="s" s="169">
        <v>48</v>
      </c>
      <c r="B12" s="150">
        <v>4.83420879842416</v>
      </c>
      <c r="C12" s="150">
        <v>5.15980958857531</v>
      </c>
      <c r="D12" s="150">
        <v>5.13179788072511</v>
      </c>
      <c r="E12" s="150">
        <v>4.97987047085594</v>
      </c>
      <c r="F12" s="150">
        <v>4.86514612782933</v>
      </c>
      <c r="G12" s="150">
        <v>4.56694242782374</v>
      </c>
      <c r="H12" s="150">
        <v>4.70043032108573</v>
      </c>
      <c r="I12" s="150">
        <v>4.48025785656728</v>
      </c>
      <c r="J12" s="150">
        <v>4.44766739182983</v>
      </c>
      <c r="K12" s="150">
        <v>4.33447398438185</v>
      </c>
      <c r="L12" s="150">
        <v>3.57650402652771</v>
      </c>
      <c r="M12" s="150">
        <v>3.338718362951</v>
      </c>
      <c r="N12" s="150">
        <v>3.62698175291654</v>
      </c>
      <c r="O12" s="170"/>
    </row>
    <row r="13" ht="14" customHeight="1">
      <c r="A13" t="s" s="169">
        <v>49</v>
      </c>
      <c r="B13" s="150">
        <v>4.56754130223518</v>
      </c>
      <c r="C13" s="150">
        <v>5.35714285714286</v>
      </c>
      <c r="D13" s="150">
        <v>5.37587412587413</v>
      </c>
      <c r="E13" s="150">
        <v>5.55882352941176</v>
      </c>
      <c r="F13" s="150">
        <v>5.61065877128053</v>
      </c>
      <c r="G13" s="150">
        <v>5.31729933352651</v>
      </c>
      <c r="H13" s="150">
        <v>5.55634705798547</v>
      </c>
      <c r="I13" s="150">
        <v>5.37694791520427</v>
      </c>
      <c r="J13" s="150">
        <v>4.81065918653576</v>
      </c>
      <c r="K13" s="150">
        <v>4.60595184686706</v>
      </c>
      <c r="L13" s="150">
        <v>3.91353489686352</v>
      </c>
      <c r="M13" s="150">
        <v>3.9340628895969</v>
      </c>
      <c r="N13" s="150">
        <v>4.0086381427993</v>
      </c>
      <c r="O13" s="170"/>
    </row>
    <row r="14" ht="14" customHeight="1">
      <c r="A14" t="s" s="169">
        <v>50</v>
      </c>
      <c r="B14" s="150">
        <v>13.5762623633524</v>
      </c>
      <c r="C14" s="150">
        <v>16.5333638025594</v>
      </c>
      <c r="D14" s="150">
        <v>16.3317547676949</v>
      </c>
      <c r="E14" s="150">
        <v>17.2539489671932</v>
      </c>
      <c r="F14" s="150">
        <v>18.1769864469838</v>
      </c>
      <c r="G14" s="150">
        <v>17.7254901960784</v>
      </c>
      <c r="H14" s="150">
        <v>18.5008386014708</v>
      </c>
      <c r="I14" s="150">
        <v>18.6111463755237</v>
      </c>
      <c r="J14" s="150">
        <v>17.3875217499379</v>
      </c>
      <c r="K14" s="150">
        <v>16.4411094734021</v>
      </c>
      <c r="L14" s="150">
        <v>14.489728660881</v>
      </c>
      <c r="M14" s="150">
        <v>13.7893807046815</v>
      </c>
      <c r="N14" s="150">
        <v>14.353137146030</v>
      </c>
      <c r="O14" s="170"/>
    </row>
    <row r="15" ht="14" customHeight="1">
      <c r="A15" t="s" s="158">
        <v>81</v>
      </c>
      <c r="B15" s="154">
        <v>16.6044038148816</v>
      </c>
      <c r="C15" s="154">
        <v>16.5777199550399</v>
      </c>
      <c r="D15" s="154">
        <v>16.7456782600124</v>
      </c>
      <c r="E15" s="154">
        <v>17.8476012958772</v>
      </c>
      <c r="F15" s="154">
        <v>18.1192800888089</v>
      </c>
      <c r="G15" s="154">
        <v>17.5861244427744</v>
      </c>
      <c r="H15" s="154">
        <v>17.8138193370397</v>
      </c>
      <c r="I15" s="154">
        <v>17.182931060118</v>
      </c>
      <c r="J15" s="154">
        <v>16.9222159123643</v>
      </c>
      <c r="K15" s="154">
        <v>15.4206546357858</v>
      </c>
      <c r="L15" s="154">
        <v>14.6838472623693</v>
      </c>
      <c r="M15" s="154">
        <v>14.0955071687207</v>
      </c>
      <c r="N15" s="154">
        <v>14.2461441611583</v>
      </c>
      <c r="O15" s="170"/>
    </row>
    <row r="16" ht="14" customHeight="1">
      <c r="A16" t="s" s="169">
        <v>51</v>
      </c>
      <c r="B16" s="150">
        <v>17.0176520691985</v>
      </c>
      <c r="C16" s="150">
        <v>17.3822020404553</v>
      </c>
      <c r="D16" s="150">
        <v>17.6917929062481</v>
      </c>
      <c r="E16" s="150">
        <v>18.4735315445975</v>
      </c>
      <c r="F16" s="150">
        <v>18.9581554227156</v>
      </c>
      <c r="G16" s="150">
        <v>18.0700415500721</v>
      </c>
      <c r="H16" s="150">
        <v>18.4321689683184</v>
      </c>
      <c r="I16" s="150">
        <v>17.6364120308757</v>
      </c>
      <c r="J16" s="150">
        <v>17.3857901550982</v>
      </c>
      <c r="K16" s="150">
        <v>15.8151087026643</v>
      </c>
      <c r="L16" s="150">
        <v>14.7145346014338</v>
      </c>
      <c r="M16" s="150">
        <v>14.3440384865427</v>
      </c>
      <c r="N16" s="150">
        <v>14.6885181646701</v>
      </c>
      <c r="O16" s="170"/>
    </row>
    <row r="17" ht="14" customHeight="1">
      <c r="A17" t="s" s="169">
        <v>52</v>
      </c>
      <c r="B17" s="150">
        <v>10.5365044247788</v>
      </c>
      <c r="C17" s="150">
        <v>11.1768018018018</v>
      </c>
      <c r="D17" s="150">
        <v>11.2436115843271</v>
      </c>
      <c r="E17" s="150">
        <v>11.8015963511973</v>
      </c>
      <c r="F17" s="150">
        <v>12.1343445287107</v>
      </c>
      <c r="G17" s="150">
        <v>11.0679108346293</v>
      </c>
      <c r="H17" s="150">
        <v>11.6213442791175</v>
      </c>
      <c r="I17" s="150">
        <v>10.6927710843373</v>
      </c>
      <c r="J17" s="150">
        <v>9.63348192174344</v>
      </c>
      <c r="K17" s="150">
        <v>8.80733944954128</v>
      </c>
      <c r="L17" s="150">
        <v>7.79097387173397</v>
      </c>
      <c r="M17" s="150">
        <v>7.47126436781609</v>
      </c>
      <c r="N17" s="150">
        <v>7.05954573357888</v>
      </c>
      <c r="O17" s="170"/>
    </row>
    <row r="18" ht="14" customHeight="1">
      <c r="A18" t="s" s="169">
        <v>53</v>
      </c>
      <c r="B18" s="150">
        <v>7.14324633574892</v>
      </c>
      <c r="C18" s="150">
        <v>8.03884986830553</v>
      </c>
      <c r="D18" s="150">
        <v>7.71962928020423</v>
      </c>
      <c r="E18" s="150">
        <v>7.90684779595231</v>
      </c>
      <c r="F18" s="150">
        <v>8.20289387337959</v>
      </c>
      <c r="G18" s="150">
        <v>8.02028355583152</v>
      </c>
      <c r="H18" s="150">
        <v>8.1121236133122</v>
      </c>
      <c r="I18" s="150">
        <v>7.91256305548883</v>
      </c>
      <c r="J18" s="150">
        <v>8.34049050481916</v>
      </c>
      <c r="K18" s="150">
        <v>7.6604774535809</v>
      </c>
      <c r="L18" s="150">
        <v>6.50118203309693</v>
      </c>
      <c r="M18" s="150">
        <v>5.88422971741112</v>
      </c>
      <c r="N18" s="150">
        <v>5.64624029970565</v>
      </c>
      <c r="O18" s="170"/>
    </row>
    <row r="19" ht="14" customHeight="1">
      <c r="A19" t="s" s="169">
        <v>54</v>
      </c>
      <c r="B19" t="s" s="171">
        <v>88</v>
      </c>
      <c r="C19" t="s" s="171">
        <v>88</v>
      </c>
      <c r="D19" t="s" s="171">
        <v>88</v>
      </c>
      <c r="E19" t="s" s="171">
        <v>88</v>
      </c>
      <c r="F19" t="s" s="171">
        <v>88</v>
      </c>
      <c r="G19" t="s" s="171">
        <v>88</v>
      </c>
      <c r="H19" t="s" s="171">
        <v>88</v>
      </c>
      <c r="I19" t="s" s="171">
        <v>88</v>
      </c>
      <c r="J19" t="s" s="171">
        <v>88</v>
      </c>
      <c r="K19" t="s" s="171">
        <v>88</v>
      </c>
      <c r="L19" t="s" s="171">
        <v>88</v>
      </c>
      <c r="M19" t="s" s="171">
        <v>88</v>
      </c>
      <c r="N19" t="s" s="171">
        <v>88</v>
      </c>
      <c r="O19" s="170"/>
    </row>
    <row r="20" ht="14" customHeight="1">
      <c r="A20" t="s" s="169">
        <v>55</v>
      </c>
      <c r="B20" s="150">
        <v>6.73400673400673</v>
      </c>
      <c r="C20" s="150">
        <v>7.49481741349067</v>
      </c>
      <c r="D20" s="150">
        <v>7.44080724614651</v>
      </c>
      <c r="E20" s="150">
        <v>7.87845347416545</v>
      </c>
      <c r="F20" s="150">
        <v>7.83435272118119</v>
      </c>
      <c r="G20" s="150">
        <v>7.60162756207932</v>
      </c>
      <c r="H20" s="150">
        <v>7.77815480903367</v>
      </c>
      <c r="I20" s="150">
        <v>7.29197733373099</v>
      </c>
      <c r="J20" s="150">
        <v>7.16050293130784</v>
      </c>
      <c r="K20" s="150">
        <v>7.1593446096795</v>
      </c>
      <c r="L20" s="150">
        <v>6.15698340011448</v>
      </c>
      <c r="M20" s="150">
        <v>5.63097210958711</v>
      </c>
      <c r="N20" s="150">
        <v>5.54648132059079</v>
      </c>
      <c r="O20" s="170"/>
    </row>
    <row r="21" ht="14" customHeight="1">
      <c r="A21" t="s" s="169">
        <v>56</v>
      </c>
      <c r="B21" s="150">
        <v>50.3404896813433</v>
      </c>
      <c r="C21" s="150">
        <v>46.5594921155028</v>
      </c>
      <c r="D21" s="150">
        <v>47.0907045710195</v>
      </c>
      <c r="E21" s="150">
        <v>49.8968160377358</v>
      </c>
      <c r="F21" s="150">
        <v>50.5022294085942</v>
      </c>
      <c r="G21" s="150">
        <v>50.1471453796351</v>
      </c>
      <c r="H21" s="150">
        <v>50.4288917048445</v>
      </c>
      <c r="I21" s="150">
        <v>49.6987804280746</v>
      </c>
      <c r="J21" s="150">
        <v>49.2024844720497</v>
      </c>
      <c r="K21" s="150">
        <v>45.2441879457723</v>
      </c>
      <c r="L21" s="150">
        <v>45.4863253135924</v>
      </c>
      <c r="M21" s="150">
        <v>45.4234072824999</v>
      </c>
      <c r="N21" s="150">
        <v>46.6533885423764</v>
      </c>
      <c r="O21" s="170"/>
    </row>
    <row r="22" ht="14" customHeight="1">
      <c r="A22" t="s" s="153">
        <v>82</v>
      </c>
      <c r="B22" s="154">
        <v>14.7114140928149</v>
      </c>
      <c r="C22" s="154">
        <v>14.9432309963851</v>
      </c>
      <c r="D22" s="154">
        <v>15.098988979552</v>
      </c>
      <c r="E22" s="154">
        <v>16.0176526624803</v>
      </c>
      <c r="F22" s="154">
        <v>16.3010568226189</v>
      </c>
      <c r="G22" s="154">
        <v>15.8565632443314</v>
      </c>
      <c r="H22" s="154">
        <v>16.0993994362054</v>
      </c>
      <c r="I22" s="154">
        <v>15.6225246851248</v>
      </c>
      <c r="J22" s="154">
        <v>15.2926638133703</v>
      </c>
      <c r="K22" s="154">
        <v>14.119570294255</v>
      </c>
      <c r="L22" s="154">
        <v>13.2412250684396</v>
      </c>
      <c r="M22" s="154">
        <v>12.7457607194287</v>
      </c>
      <c r="N22" s="154">
        <v>12.9344321031888</v>
      </c>
      <c r="O22" s="170"/>
    </row>
    <row r="23" ht="14" customHeight="1">
      <c r="A23" s="172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70"/>
    </row>
    <row r="24" ht="14" customHeight="1">
      <c r="A24" s="141"/>
      <c r="B24" t="s" s="156">
        <v>83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70"/>
    </row>
    <row r="25" ht="14" customHeight="1">
      <c r="A25" t="s" s="169">
        <v>46</v>
      </c>
      <c r="B25" s="150">
        <v>8.78722833378052</v>
      </c>
      <c r="C25" s="150">
        <v>9.766483516483509</v>
      </c>
      <c r="D25" s="150">
        <v>9.07586206896552</v>
      </c>
      <c r="E25" s="150">
        <v>8.611983076293161</v>
      </c>
      <c r="F25" s="150">
        <v>8.489054991991461</v>
      </c>
      <c r="G25" s="150">
        <v>9.078999082929389</v>
      </c>
      <c r="H25" s="150">
        <v>8.6550182852499</v>
      </c>
      <c r="I25" s="150">
        <v>9.003984063745021</v>
      </c>
      <c r="J25" s="150">
        <v>9.54218791589034</v>
      </c>
      <c r="K25" s="150">
        <v>9.422321929332581</v>
      </c>
      <c r="L25" s="150">
        <v>8.432916892992941</v>
      </c>
      <c r="M25" s="150">
        <v>8.138903960933259</v>
      </c>
      <c r="N25" s="150">
        <v>7.72795420471582</v>
      </c>
      <c r="O25" s="170"/>
    </row>
    <row r="26" ht="14" customHeight="1">
      <c r="A26" t="s" s="158">
        <v>79</v>
      </c>
      <c r="B26" s="154">
        <v>10.7357190486775</v>
      </c>
      <c r="C26" s="154">
        <v>11.704390095701</v>
      </c>
      <c r="D26" s="154">
        <v>11.362733412793</v>
      </c>
      <c r="E26" s="154">
        <v>11.7186224906153</v>
      </c>
      <c r="F26" s="154">
        <v>12.3115368596418</v>
      </c>
      <c r="G26" s="154">
        <v>12.4102997045167</v>
      </c>
      <c r="H26" s="154">
        <v>11.935624184428</v>
      </c>
      <c r="I26" s="154">
        <v>12.1718377088305</v>
      </c>
      <c r="J26" s="154">
        <v>12.0765965134134</v>
      </c>
      <c r="K26" s="154">
        <v>12.4713083397093</v>
      </c>
      <c r="L26" s="154">
        <v>11.1707450195579</v>
      </c>
      <c r="M26" s="154">
        <v>10.5924276169265</v>
      </c>
      <c r="N26" s="154">
        <v>11.0090917274282</v>
      </c>
      <c r="O26" s="170"/>
    </row>
    <row r="27" ht="14" customHeight="1">
      <c r="A27" t="s" s="158">
        <v>80</v>
      </c>
      <c r="B27" s="154">
        <v>10.4062951662117</v>
      </c>
      <c r="C27" s="154">
        <v>10.6841146264701</v>
      </c>
      <c r="D27" s="154">
        <v>10.7783417935702</v>
      </c>
      <c r="E27" s="154">
        <v>11.3700070077085</v>
      </c>
      <c r="F27" s="154">
        <v>11.304347826087</v>
      </c>
      <c r="G27" s="154">
        <v>11.5516929205142</v>
      </c>
      <c r="H27" s="154">
        <v>11.2539593814049</v>
      </c>
      <c r="I27" s="154">
        <v>11.1847085541257</v>
      </c>
      <c r="J27" s="154">
        <v>11.5184256222265</v>
      </c>
      <c r="K27" s="154">
        <v>12.108980827447</v>
      </c>
      <c r="L27" s="154">
        <v>12.0087336244541</v>
      </c>
      <c r="M27" s="154">
        <v>10.9870868899103</v>
      </c>
      <c r="N27" s="154">
        <v>12.0122753178431</v>
      </c>
      <c r="O27" s="170"/>
    </row>
    <row r="28" ht="14" customHeight="1">
      <c r="A28" t="s" s="169">
        <v>47</v>
      </c>
      <c r="B28" s="150">
        <v>9.99297917154224</v>
      </c>
      <c r="C28" s="150">
        <v>10.764467730412</v>
      </c>
      <c r="D28" s="150">
        <v>10.9375</v>
      </c>
      <c r="E28" s="150">
        <v>11.5491533990397</v>
      </c>
      <c r="F28" s="150">
        <v>11.4548708770135</v>
      </c>
      <c r="G28" s="150">
        <v>11.9141136423147</v>
      </c>
      <c r="H28" s="150">
        <v>11.3924050632911</v>
      </c>
      <c r="I28" s="150">
        <v>11.3045881702598</v>
      </c>
      <c r="J28" s="150">
        <v>11.7613956105796</v>
      </c>
      <c r="K28" s="150">
        <v>12.758875739645</v>
      </c>
      <c r="L28" s="150">
        <v>12.8337085879704</v>
      </c>
      <c r="M28" s="150">
        <v>11.5544206830514</v>
      </c>
      <c r="N28" s="150">
        <v>12.6627604166667</v>
      </c>
      <c r="O28" s="170"/>
    </row>
    <row r="29" ht="14" customHeight="1">
      <c r="A29" t="s" s="169">
        <v>48</v>
      </c>
      <c r="B29" s="150">
        <v>10.368519675203</v>
      </c>
      <c r="C29" s="150">
        <v>9.437751004016061</v>
      </c>
      <c r="D29" s="150">
        <v>9.666439754935331</v>
      </c>
      <c r="E29" s="150">
        <v>10.056258790436</v>
      </c>
      <c r="F29" s="150">
        <v>9.978308026030369</v>
      </c>
      <c r="G29" s="150">
        <v>9.847936278059381</v>
      </c>
      <c r="H29" s="150">
        <v>10.0449775112444</v>
      </c>
      <c r="I29" s="150">
        <v>10.0148367952522</v>
      </c>
      <c r="J29" s="150">
        <v>10.2150537634409</v>
      </c>
      <c r="K29" s="150">
        <v>9.9403578528827</v>
      </c>
      <c r="L29" s="150">
        <v>9.579831932773111</v>
      </c>
      <c r="M29" s="150">
        <v>8.9974293059126</v>
      </c>
      <c r="N29" s="150">
        <v>10.108604845447</v>
      </c>
      <c r="O29" s="170"/>
    </row>
    <row r="30" ht="14" customHeight="1">
      <c r="A30" t="s" s="169">
        <v>49</v>
      </c>
      <c r="B30" s="150">
        <v>15.5807365439093</v>
      </c>
      <c r="C30" s="150">
        <v>15.1162790697674</v>
      </c>
      <c r="D30" s="150">
        <v>13.6231884057971</v>
      </c>
      <c r="E30" s="150">
        <v>14.8936170212766</v>
      </c>
      <c r="F30" s="150">
        <v>14.9560117302053</v>
      </c>
      <c r="G30" s="150">
        <v>14.5510835913313</v>
      </c>
      <c r="H30" s="150">
        <v>14.6875</v>
      </c>
      <c r="I30" s="150">
        <v>14.7798742138365</v>
      </c>
      <c r="J30" s="150">
        <v>14.0672782874618</v>
      </c>
      <c r="K30" s="150">
        <v>13.7795275590551</v>
      </c>
      <c r="L30" s="150">
        <v>13.1672597864769</v>
      </c>
      <c r="M30" s="150">
        <v>13.0111524163569</v>
      </c>
      <c r="N30" s="150">
        <v>12.9692832764505</v>
      </c>
      <c r="O30" s="170"/>
    </row>
    <row r="31" ht="14" customHeight="1">
      <c r="A31" t="s" s="169">
        <v>50</v>
      </c>
      <c r="B31" s="150">
        <v>11.0178817056396</v>
      </c>
      <c r="C31" s="150">
        <v>12.568382662365</v>
      </c>
      <c r="D31" s="150">
        <v>11.8801498127341</v>
      </c>
      <c r="E31" s="150">
        <v>12.0226092270089</v>
      </c>
      <c r="F31" s="150">
        <v>13.2025117739403</v>
      </c>
      <c r="G31" s="150">
        <v>13.1603922809238</v>
      </c>
      <c r="H31" s="150">
        <v>12.532637075718</v>
      </c>
      <c r="I31" s="150">
        <v>13.036987891856</v>
      </c>
      <c r="J31" s="150">
        <v>12.5679347826087</v>
      </c>
      <c r="K31" s="150">
        <v>12.748312439730</v>
      </c>
      <c r="L31" s="150">
        <v>10.5722750662716</v>
      </c>
      <c r="M31" s="150">
        <v>10.3215144230769</v>
      </c>
      <c r="N31" s="150">
        <v>10.3100656789369</v>
      </c>
      <c r="O31" s="170"/>
    </row>
    <row r="32" ht="14" customHeight="1">
      <c r="A32" t="s" s="158">
        <v>81</v>
      </c>
      <c r="B32" s="154">
        <v>13.2297439107462</v>
      </c>
      <c r="C32" s="154">
        <v>13.2863043239884</v>
      </c>
      <c r="D32" s="154">
        <v>13.8997665486859</v>
      </c>
      <c r="E32" s="154">
        <v>14.3383728762817</v>
      </c>
      <c r="F32" s="154">
        <v>14.4256422694453</v>
      </c>
      <c r="G32" s="154">
        <v>14.5115562982295</v>
      </c>
      <c r="H32" s="154">
        <v>14.094048632794</v>
      </c>
      <c r="I32" s="154">
        <v>14.0920895494095</v>
      </c>
      <c r="J32" s="154">
        <v>14.3465480856195</v>
      </c>
      <c r="K32" s="154">
        <v>12.9040912139504</v>
      </c>
      <c r="L32" s="154">
        <v>12.8528112981014</v>
      </c>
      <c r="M32" s="154">
        <v>12.5582401163819</v>
      </c>
      <c r="N32" s="154">
        <v>13.0906423718345</v>
      </c>
      <c r="O32" s="170"/>
    </row>
    <row r="33" ht="14" customHeight="1">
      <c r="A33" t="s" s="169">
        <v>51</v>
      </c>
      <c r="B33" s="150">
        <v>14.0065527732272</v>
      </c>
      <c r="C33" s="150">
        <v>14.2106707436591</v>
      </c>
      <c r="D33" s="150">
        <v>14.8985368576327</v>
      </c>
      <c r="E33" s="150">
        <v>15.735817374965</v>
      </c>
      <c r="F33" s="150">
        <v>15.9357727841207</v>
      </c>
      <c r="G33" s="150">
        <v>15.9643699666477</v>
      </c>
      <c r="H33" s="150">
        <v>15.9353538676646</v>
      </c>
      <c r="I33" s="150">
        <v>16.2744768467938</v>
      </c>
      <c r="J33" s="150">
        <v>16.5957446808511</v>
      </c>
      <c r="K33" s="150">
        <v>14.8377708310876</v>
      </c>
      <c r="L33" s="150">
        <v>14.8303412901953</v>
      </c>
      <c r="M33" s="150">
        <v>14.871574524969</v>
      </c>
      <c r="N33" s="150">
        <v>15.6693251826735</v>
      </c>
      <c r="O33" s="170"/>
    </row>
    <row r="34" ht="14" customHeight="1">
      <c r="A34" t="s" s="169">
        <v>52</v>
      </c>
      <c r="B34" s="150">
        <v>7.59799189032632</v>
      </c>
      <c r="C34" s="150">
        <v>6.9466579169401</v>
      </c>
      <c r="D34" s="150">
        <v>7.98501008936293</v>
      </c>
      <c r="E34" s="150">
        <v>8.029612756264241</v>
      </c>
      <c r="F34" s="150">
        <v>7.95561406808351</v>
      </c>
      <c r="G34" s="150">
        <v>7.84164446136277</v>
      </c>
      <c r="H34" s="150">
        <v>7.10298363811357</v>
      </c>
      <c r="I34" s="150">
        <v>6.86367969494757</v>
      </c>
      <c r="J34" s="150">
        <v>6.7571415013761</v>
      </c>
      <c r="K34" s="150">
        <v>6.11340815121087</v>
      </c>
      <c r="L34" s="150">
        <v>5.79552657792267</v>
      </c>
      <c r="M34" s="150">
        <v>5.74834437086093</v>
      </c>
      <c r="N34" s="150">
        <v>5.73008293541091</v>
      </c>
      <c r="O34" s="170"/>
    </row>
    <row r="35" ht="14" customHeight="1">
      <c r="A35" t="s" s="169">
        <v>53</v>
      </c>
      <c r="B35" s="150">
        <v>12.3490945674044</v>
      </c>
      <c r="C35" s="150">
        <v>12.8668460848392</v>
      </c>
      <c r="D35" s="150">
        <v>12.929848693260</v>
      </c>
      <c r="E35" s="150">
        <v>13.1253435953821</v>
      </c>
      <c r="F35" s="150">
        <v>13.5862068965517</v>
      </c>
      <c r="G35" s="150">
        <v>14.3099068585944</v>
      </c>
      <c r="H35" s="150">
        <v>13.7031227719949</v>
      </c>
      <c r="I35" s="150">
        <v>13.5180756787171</v>
      </c>
      <c r="J35" s="150">
        <v>13.7061403508772</v>
      </c>
      <c r="K35" s="150">
        <v>12.5561257216164</v>
      </c>
      <c r="L35" s="150">
        <v>13.2679550043265</v>
      </c>
      <c r="M35" s="150">
        <v>12.5591757170705</v>
      </c>
      <c r="N35" s="150">
        <v>13.1874298540965</v>
      </c>
      <c r="O35" s="170"/>
    </row>
    <row r="36" ht="14" customHeight="1">
      <c r="A36" t="s" s="169">
        <v>54</v>
      </c>
      <c r="B36" t="s" s="171">
        <v>88</v>
      </c>
      <c r="C36" t="s" s="171">
        <v>88</v>
      </c>
      <c r="D36" t="s" s="171">
        <v>88</v>
      </c>
      <c r="E36" t="s" s="171">
        <v>88</v>
      </c>
      <c r="F36" t="s" s="171">
        <v>88</v>
      </c>
      <c r="G36" t="s" s="171">
        <v>88</v>
      </c>
      <c r="H36" t="s" s="171">
        <v>88</v>
      </c>
      <c r="I36" t="s" s="171">
        <v>88</v>
      </c>
      <c r="J36" t="s" s="171">
        <v>88</v>
      </c>
      <c r="K36" t="s" s="171">
        <v>88</v>
      </c>
      <c r="L36" t="s" s="171">
        <v>88</v>
      </c>
      <c r="M36" t="s" s="171">
        <v>88</v>
      </c>
      <c r="N36" t="s" s="171">
        <v>88</v>
      </c>
      <c r="O36" s="170"/>
    </row>
    <row r="37" ht="14" customHeight="1">
      <c r="A37" t="s" s="169">
        <v>55</v>
      </c>
      <c r="B37" s="150">
        <v>13.8382940915149</v>
      </c>
      <c r="C37" s="150">
        <v>14.9896480331263</v>
      </c>
      <c r="D37" s="150">
        <v>15.7579645071627</v>
      </c>
      <c r="E37" s="150">
        <v>15.7282741738066</v>
      </c>
      <c r="F37" s="150">
        <v>15.5757097791798</v>
      </c>
      <c r="G37" s="150">
        <v>14.6292585170341</v>
      </c>
      <c r="H37" s="150">
        <v>13.8019801980198</v>
      </c>
      <c r="I37" s="150">
        <v>13.6536270413976</v>
      </c>
      <c r="J37" s="150">
        <v>14.344262295082</v>
      </c>
      <c r="K37" s="150">
        <v>13.1027466937945</v>
      </c>
      <c r="L37" s="150">
        <v>12.3445331353258</v>
      </c>
      <c r="M37" s="150">
        <v>11.297950604309</v>
      </c>
      <c r="N37" s="150">
        <v>11.4074819661131</v>
      </c>
      <c r="O37" s="170"/>
    </row>
    <row r="38" ht="14" customHeight="1">
      <c r="A38" t="s" s="169">
        <v>56</v>
      </c>
      <c r="B38" s="150">
        <v>20.5045167888188</v>
      </c>
      <c r="C38" s="150">
        <v>19.9018446437637</v>
      </c>
      <c r="D38" s="150">
        <v>20.0387392146505</v>
      </c>
      <c r="E38" s="150">
        <v>20.2029036207801</v>
      </c>
      <c r="F38" s="150">
        <v>19.8258196721311</v>
      </c>
      <c r="G38" s="150">
        <v>20.292234444262</v>
      </c>
      <c r="H38" s="150">
        <v>19.3744855967078</v>
      </c>
      <c r="I38" s="150">
        <v>19.064039408867</v>
      </c>
      <c r="J38" s="150">
        <v>19.4426336375489</v>
      </c>
      <c r="K38" s="150">
        <v>19.9506883090199</v>
      </c>
      <c r="L38" s="150">
        <v>19.7055080894383</v>
      </c>
      <c r="M38" s="150">
        <v>18.8431200701139</v>
      </c>
      <c r="N38" s="150">
        <v>20.4860516857779</v>
      </c>
      <c r="O38" s="170"/>
    </row>
    <row r="39" ht="14" customHeight="1">
      <c r="A39" t="s" s="153">
        <v>84</v>
      </c>
      <c r="B39" s="154">
        <v>12.3425625763937</v>
      </c>
      <c r="C39" s="154">
        <v>12.6682986536108</v>
      </c>
      <c r="D39" s="154">
        <v>12.9826870090883</v>
      </c>
      <c r="E39" s="154">
        <v>13.3242040397124</v>
      </c>
      <c r="F39" s="154">
        <v>13.4699573164058</v>
      </c>
      <c r="G39" s="154">
        <v>13.5993071117282</v>
      </c>
      <c r="H39" s="154">
        <v>13.1882380826234</v>
      </c>
      <c r="I39" s="154">
        <v>13.2535337169674</v>
      </c>
      <c r="J39" s="154">
        <v>13.4920524163724</v>
      </c>
      <c r="K39" s="154">
        <v>12.4321843601973</v>
      </c>
      <c r="L39" s="154">
        <v>12.0966547156953</v>
      </c>
      <c r="M39" s="154">
        <v>11.7715651272602</v>
      </c>
      <c r="N39" s="154">
        <v>12.2014404873744</v>
      </c>
      <c r="O39" s="170"/>
    </row>
    <row r="40" ht="14" customHeight="1">
      <c r="A40" s="172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70"/>
    </row>
    <row r="41" ht="14" customHeight="1">
      <c r="A41" s="141"/>
      <c r="B41" t="s" s="156">
        <v>85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70"/>
    </row>
    <row r="42" ht="14" customHeight="1">
      <c r="A42" t="s" s="169">
        <v>46</v>
      </c>
      <c r="B42" s="150">
        <v>17.8596929667976</v>
      </c>
      <c r="C42" s="150">
        <v>18.6607224092439</v>
      </c>
      <c r="D42" s="150">
        <v>18.3319570602808</v>
      </c>
      <c r="E42" s="150">
        <v>18.3101139858875</v>
      </c>
      <c r="F42" s="150">
        <v>18.7001947936958</v>
      </c>
      <c r="G42" s="150">
        <v>19.3809114359415</v>
      </c>
      <c r="H42" s="150">
        <v>19.4208730644738</v>
      </c>
      <c r="I42" s="150">
        <v>19.8320911505183</v>
      </c>
      <c r="J42" s="150">
        <v>19.844088349935</v>
      </c>
      <c r="K42" s="150">
        <v>19.3741496598639</v>
      </c>
      <c r="L42" s="150">
        <v>17.8087017791087</v>
      </c>
      <c r="M42" s="150">
        <v>17.3737727910238</v>
      </c>
      <c r="N42" s="150">
        <v>17.6434835460623</v>
      </c>
      <c r="O42" s="170"/>
    </row>
    <row r="43" ht="14" customHeight="1">
      <c r="A43" t="s" s="158">
        <v>79</v>
      </c>
      <c r="B43" s="154">
        <v>8.491458560182791</v>
      </c>
      <c r="C43" s="154">
        <v>9.236108519610401</v>
      </c>
      <c r="D43" s="154">
        <v>9.04523595417758</v>
      </c>
      <c r="E43" s="154">
        <v>9.27191915970741</v>
      </c>
      <c r="F43" s="154">
        <v>9.473642124622669</v>
      </c>
      <c r="G43" s="154">
        <v>9.2291309235047</v>
      </c>
      <c r="H43" s="154">
        <v>9.3193758331373</v>
      </c>
      <c r="I43" s="154">
        <v>9.2734652657746</v>
      </c>
      <c r="J43" s="154">
        <v>8.888327143329381</v>
      </c>
      <c r="K43" s="154">
        <v>8.663160201621739</v>
      </c>
      <c r="L43" s="154">
        <v>7.83227543758415</v>
      </c>
      <c r="M43" s="154">
        <v>7.6269621421976</v>
      </c>
      <c r="N43" s="154">
        <v>7.8966272763191</v>
      </c>
      <c r="O43" s="170"/>
    </row>
    <row r="44" ht="14" customHeight="1">
      <c r="A44" t="s" s="158">
        <v>80</v>
      </c>
      <c r="B44" s="154">
        <v>6.77463853267256</v>
      </c>
      <c r="C44" s="154">
        <v>6.912735661443</v>
      </c>
      <c r="D44" s="154">
        <v>6.97649048164512</v>
      </c>
      <c r="E44" s="154">
        <v>7.14246272777471</v>
      </c>
      <c r="F44" s="154">
        <v>7.00307249425637</v>
      </c>
      <c r="G44" s="154">
        <v>6.78335193401748</v>
      </c>
      <c r="H44" s="154">
        <v>6.87259311124876</v>
      </c>
      <c r="I44" s="154">
        <v>6.71278435546095</v>
      </c>
      <c r="J44" s="154">
        <v>6.48654415490892</v>
      </c>
      <c r="K44" s="154">
        <v>6.26099084349039</v>
      </c>
      <c r="L44" s="154">
        <v>5.68898393376104</v>
      </c>
      <c r="M44" s="154">
        <v>5.463074654872</v>
      </c>
      <c r="N44" s="154">
        <v>5.66411855253202</v>
      </c>
      <c r="O44" s="170"/>
    </row>
    <row r="45" ht="14" customHeight="1">
      <c r="A45" t="s" s="169">
        <v>47</v>
      </c>
      <c r="B45" s="150">
        <v>8.49761303004774</v>
      </c>
      <c r="C45" s="150">
        <v>8.378774552917029</v>
      </c>
      <c r="D45" s="150">
        <v>8.534009294465569</v>
      </c>
      <c r="E45" s="150">
        <v>8.91460937019024</v>
      </c>
      <c r="F45" s="150">
        <v>8.692684742818139</v>
      </c>
      <c r="G45" s="150">
        <v>8.603008903899291</v>
      </c>
      <c r="H45" s="150">
        <v>8.62848070346849</v>
      </c>
      <c r="I45" s="150">
        <v>8.5560844623459</v>
      </c>
      <c r="J45" s="150">
        <v>8.31954910249341</v>
      </c>
      <c r="K45" s="150">
        <v>8.27100747910251</v>
      </c>
      <c r="L45" s="150">
        <v>7.82489022871748</v>
      </c>
      <c r="M45" s="150">
        <v>7.53945434796499</v>
      </c>
      <c r="N45" s="150">
        <v>7.65973346618508</v>
      </c>
      <c r="O45" s="170"/>
    </row>
    <row r="46" ht="14" customHeight="1">
      <c r="A46" t="s" s="169">
        <v>48</v>
      </c>
      <c r="B46" s="150">
        <v>5.47696771853464</v>
      </c>
      <c r="C46" s="150">
        <v>5.64187660280585</v>
      </c>
      <c r="D46" s="150">
        <v>5.64866542520174</v>
      </c>
      <c r="E46" s="150">
        <v>5.54171855541718</v>
      </c>
      <c r="F46" s="150">
        <v>5.41273037014093</v>
      </c>
      <c r="G46" s="150">
        <v>5.11831859076132</v>
      </c>
      <c r="H46" s="150">
        <v>5.23177820837681</v>
      </c>
      <c r="I46" s="150">
        <v>5.02253234481756</v>
      </c>
      <c r="J46" s="150">
        <v>4.99525997228907</v>
      </c>
      <c r="K46" s="150">
        <v>4.78916391195679</v>
      </c>
      <c r="L46" s="150">
        <v>4.09209006928406</v>
      </c>
      <c r="M46" s="150">
        <v>3.80488493576168</v>
      </c>
      <c r="N46" s="150">
        <v>4.1595167822088</v>
      </c>
      <c r="O46" s="170"/>
    </row>
    <row r="47" ht="14" customHeight="1">
      <c r="A47" t="s" s="169">
        <v>49</v>
      </c>
      <c r="B47" s="150">
        <v>5.08205399682372</v>
      </c>
      <c r="C47" s="150">
        <v>5.81081081081081</v>
      </c>
      <c r="D47" s="150">
        <v>5.7705645720627</v>
      </c>
      <c r="E47" s="150">
        <v>5.98961986253331</v>
      </c>
      <c r="F47" s="150">
        <v>6.0597519729425</v>
      </c>
      <c r="G47" s="150">
        <v>5.73010380622837</v>
      </c>
      <c r="H47" s="150">
        <v>5.95448971249489</v>
      </c>
      <c r="I47" s="150">
        <v>5.77879317296062</v>
      </c>
      <c r="J47" s="150">
        <v>5.21657503017299</v>
      </c>
      <c r="K47" s="150">
        <v>4.94165105892523</v>
      </c>
      <c r="L47" s="150">
        <v>4.26688408751189</v>
      </c>
      <c r="M47" s="150">
        <v>4.26014957264957</v>
      </c>
      <c r="N47" s="150">
        <v>4.34951960529733</v>
      </c>
      <c r="O47" s="170"/>
    </row>
    <row r="48" ht="14" customHeight="1">
      <c r="A48" t="s" s="169">
        <v>50</v>
      </c>
      <c r="B48" s="150">
        <v>12.4740740740741</v>
      </c>
      <c r="C48" s="150">
        <v>14.753479000063</v>
      </c>
      <c r="D48" s="150">
        <v>14.2807840971839</v>
      </c>
      <c r="E48" s="150">
        <v>14.7996846556296</v>
      </c>
      <c r="F48" s="150">
        <v>15.8966609096143</v>
      </c>
      <c r="G48" s="150">
        <v>15.6598912109934</v>
      </c>
      <c r="H48" s="150">
        <v>15.8656963758196</v>
      </c>
      <c r="I48" s="150">
        <v>16.1944484395225</v>
      </c>
      <c r="J48" s="150">
        <v>15.3509401464045</v>
      </c>
      <c r="K48" s="150">
        <v>14.9272612270715</v>
      </c>
      <c r="L48" s="150">
        <v>12.8705852023717</v>
      </c>
      <c r="M48" s="150">
        <v>12.4191154645295</v>
      </c>
      <c r="N48" s="150">
        <v>12.8277531262606</v>
      </c>
      <c r="O48" s="170"/>
    </row>
    <row r="49" ht="14" customHeight="1">
      <c r="A49" t="s" s="158">
        <v>81</v>
      </c>
      <c r="B49" s="154">
        <v>15.5138563320284</v>
      </c>
      <c r="C49" s="154">
        <v>15.5038251235786</v>
      </c>
      <c r="D49" s="154">
        <v>15.8278841308294</v>
      </c>
      <c r="E49" s="154">
        <v>16.7185402356284</v>
      </c>
      <c r="F49" s="154">
        <v>16.9408697515506</v>
      </c>
      <c r="G49" s="154">
        <v>16.6248921395406</v>
      </c>
      <c r="H49" s="154">
        <v>16.6740113649542</v>
      </c>
      <c r="I49" s="154">
        <v>16.2448580387193</v>
      </c>
      <c r="J49" s="154">
        <v>16.1391951883145</v>
      </c>
      <c r="K49" s="154">
        <v>14.6907784679626</v>
      </c>
      <c r="L49" s="154">
        <v>14.1476263691732</v>
      </c>
      <c r="M49" s="154">
        <v>13.6462098011388</v>
      </c>
      <c r="N49" s="154">
        <v>13.911497696883</v>
      </c>
      <c r="O49" s="170"/>
    </row>
    <row r="50" ht="14" customHeight="1">
      <c r="A50" t="s" s="169">
        <v>51</v>
      </c>
      <c r="B50" s="150">
        <v>15.7242188154478</v>
      </c>
      <c r="C50" s="150">
        <v>16.0207327129226</v>
      </c>
      <c r="D50" s="150">
        <v>16.4829097434305</v>
      </c>
      <c r="E50" s="150">
        <v>17.295083377790</v>
      </c>
      <c r="F50" s="150">
        <v>17.6829060702005</v>
      </c>
      <c r="G50" s="150">
        <v>17.2067039106145</v>
      </c>
      <c r="H50" s="150">
        <v>17.4408542459222</v>
      </c>
      <c r="I50" s="150">
        <v>17.1082648937557</v>
      </c>
      <c r="J50" s="150">
        <v>17.081289987334</v>
      </c>
      <c r="K50" s="150">
        <v>15.449188796513</v>
      </c>
      <c r="L50" s="150">
        <v>14.7570041056991</v>
      </c>
      <c r="M50" s="150">
        <v>14.530058416525</v>
      </c>
      <c r="N50" s="150">
        <v>15.0210492227979</v>
      </c>
      <c r="O50" s="170"/>
    </row>
    <row r="51" ht="14" customHeight="1">
      <c r="A51" t="s" s="169">
        <v>52</v>
      </c>
      <c r="B51" s="150">
        <v>8.35837984828968</v>
      </c>
      <c r="C51" s="150">
        <v>8.003375764821721</v>
      </c>
      <c r="D51" s="150">
        <v>8.808959724316169</v>
      </c>
      <c r="E51" s="150">
        <v>8.971802905155229</v>
      </c>
      <c r="F51" s="150">
        <v>9.032528270277821</v>
      </c>
      <c r="G51" s="150">
        <v>8.708060698872339</v>
      </c>
      <c r="H51" s="150">
        <v>8.335666293393061</v>
      </c>
      <c r="I51" s="150">
        <v>7.91764543319055</v>
      </c>
      <c r="J51" s="150">
        <v>7.55403087478559</v>
      </c>
      <c r="K51" s="150">
        <v>6.84892292277965</v>
      </c>
      <c r="L51" s="150">
        <v>6.34629253261653</v>
      </c>
      <c r="M51" s="150">
        <v>6.2401413338381</v>
      </c>
      <c r="N51" s="150">
        <v>6.11626248216833</v>
      </c>
      <c r="O51" s="170"/>
    </row>
    <row r="52" ht="14" customHeight="1">
      <c r="A52" t="s" s="169">
        <v>53</v>
      </c>
      <c r="B52" s="150">
        <v>8.716973959323321</v>
      </c>
      <c r="C52" s="150">
        <v>9.48630268567257</v>
      </c>
      <c r="D52" s="150">
        <v>9.21744632053462</v>
      </c>
      <c r="E52" s="150">
        <v>9.40697720358737</v>
      </c>
      <c r="F52" s="150">
        <v>9.71324639139352</v>
      </c>
      <c r="G52" s="150">
        <v>9.70770861729517</v>
      </c>
      <c r="H52" s="150">
        <v>9.553390920786621</v>
      </c>
      <c r="I52" s="150">
        <v>9.33963615527861</v>
      </c>
      <c r="J52" s="150">
        <v>9.726056487576979</v>
      </c>
      <c r="K52" s="150">
        <v>8.877461532328789</v>
      </c>
      <c r="L52" s="150">
        <v>8.171912832929779</v>
      </c>
      <c r="M52" s="150">
        <v>7.53038939633267</v>
      </c>
      <c r="N52" s="150">
        <v>7.46531302876481</v>
      </c>
      <c r="O52" s="170"/>
    </row>
    <row r="53" ht="14" customHeight="1">
      <c r="A53" t="s" s="169">
        <v>54</v>
      </c>
      <c r="B53" t="s" s="171">
        <v>88</v>
      </c>
      <c r="C53" t="s" s="171">
        <v>88</v>
      </c>
      <c r="D53" t="s" s="171">
        <v>88</v>
      </c>
      <c r="E53" t="s" s="171">
        <v>88</v>
      </c>
      <c r="F53" t="s" s="171">
        <v>88</v>
      </c>
      <c r="G53" t="s" s="171">
        <v>88</v>
      </c>
      <c r="H53" t="s" s="171">
        <v>88</v>
      </c>
      <c r="I53" t="s" s="171">
        <v>88</v>
      </c>
      <c r="J53" t="s" s="171">
        <v>88</v>
      </c>
      <c r="K53" t="s" s="171">
        <v>88</v>
      </c>
      <c r="L53" t="s" s="171">
        <v>88</v>
      </c>
      <c r="M53" t="s" s="171">
        <v>88</v>
      </c>
      <c r="N53" t="s" s="171">
        <v>88</v>
      </c>
      <c r="O53" s="170"/>
    </row>
    <row r="54" ht="14" customHeight="1">
      <c r="A54" t="s" s="169">
        <v>55</v>
      </c>
      <c r="B54" s="150">
        <v>7.79856210890694</v>
      </c>
      <c r="C54" s="150">
        <v>8.70495420204586</v>
      </c>
      <c r="D54" s="150">
        <v>8.744011524674191</v>
      </c>
      <c r="E54" s="150">
        <v>9.1494632535095</v>
      </c>
      <c r="F54" s="150">
        <v>9.111609902085171</v>
      </c>
      <c r="G54" s="150">
        <v>8.72247259245054</v>
      </c>
      <c r="H54" s="150">
        <v>8.74164634339467</v>
      </c>
      <c r="I54" s="150">
        <v>8.33593019632284</v>
      </c>
      <c r="J54" s="150">
        <v>8.347440672227521</v>
      </c>
      <c r="K54" s="150">
        <v>8.09137898028205</v>
      </c>
      <c r="L54" s="150">
        <v>7.15678334683104</v>
      </c>
      <c r="M54" s="150">
        <v>6.58056941590842</v>
      </c>
      <c r="N54" s="150">
        <v>6.55228005527407</v>
      </c>
      <c r="O54" s="170"/>
    </row>
    <row r="55" ht="14" customHeight="1">
      <c r="A55" t="s" s="169">
        <v>56</v>
      </c>
      <c r="B55" s="150">
        <v>43.3675908221797</v>
      </c>
      <c r="C55" s="150">
        <v>40.3679100664282</v>
      </c>
      <c r="D55" s="150">
        <v>41.0032888219678</v>
      </c>
      <c r="E55" s="150">
        <v>43.3848632475354</v>
      </c>
      <c r="F55" s="150">
        <v>43.6626689510756</v>
      </c>
      <c r="G55" s="150">
        <v>43.2795800445636</v>
      </c>
      <c r="H55" s="150">
        <v>43.3347121422931</v>
      </c>
      <c r="I55" s="150">
        <v>42.6604293205568</v>
      </c>
      <c r="J55" s="150">
        <v>42.248962339591</v>
      </c>
      <c r="K55" s="150">
        <v>39.9457691314453</v>
      </c>
      <c r="L55" s="150">
        <v>39.8028293191199</v>
      </c>
      <c r="M55" s="150">
        <v>39.2796369824163</v>
      </c>
      <c r="N55" s="150">
        <v>40.5184174624829</v>
      </c>
      <c r="O55" s="170"/>
    </row>
    <row r="56" ht="14" customHeight="1">
      <c r="A56" t="s" s="159">
        <v>86</v>
      </c>
      <c r="B56" s="160">
        <v>13.9536860356895</v>
      </c>
      <c r="C56" s="160">
        <v>14.2071186265562</v>
      </c>
      <c r="D56" s="160">
        <v>14.4181410855722</v>
      </c>
      <c r="E56" s="160">
        <v>15.1524615547032</v>
      </c>
      <c r="F56" s="160">
        <v>15.3986368334067</v>
      </c>
      <c r="G56" s="160">
        <v>15.1509682077199</v>
      </c>
      <c r="H56" s="160">
        <v>15.2105337096589</v>
      </c>
      <c r="I56" s="160">
        <v>14.9068060883032</v>
      </c>
      <c r="J56" s="160">
        <v>14.7495022037744</v>
      </c>
      <c r="K56" s="160">
        <v>13.6313845249216</v>
      </c>
      <c r="L56" s="160">
        <v>12.9069938480441</v>
      </c>
      <c r="M56" s="160">
        <v>12.4633241374129</v>
      </c>
      <c r="N56" s="160">
        <v>12.7251744301812</v>
      </c>
      <c r="O56" s="170"/>
    </row>
    <row r="57" ht="13.55" customHeight="1">
      <c r="A57" s="161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7"/>
    </row>
    <row r="58" ht="13.55" customHeight="1">
      <c r="A58" s="14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7"/>
    </row>
    <row r="59" ht="14" customHeight="1">
      <c r="A59" s="173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6"/>
      <c r="M59" s="149"/>
      <c r="N59" s="149"/>
      <c r="O59" s="7"/>
    </row>
    <row r="60" ht="14" customHeight="1">
      <c r="A60" s="174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6"/>
      <c r="M60" s="149"/>
      <c r="N60" s="149"/>
      <c r="O60" s="7"/>
    </row>
    <row r="61" ht="14" customHeight="1">
      <c r="A61" s="174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6"/>
      <c r="M61" s="149"/>
      <c r="N61" s="149"/>
      <c r="O61" s="7"/>
    </row>
    <row r="62" ht="14" customHeight="1">
      <c r="A62" s="173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6"/>
      <c r="M62" s="149"/>
      <c r="N62" s="149"/>
      <c r="O62" s="7"/>
    </row>
    <row r="63" ht="14" customHeight="1">
      <c r="A63" s="173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6"/>
      <c r="M63" s="149"/>
      <c r="N63" s="149"/>
      <c r="O63" s="7"/>
    </row>
    <row r="64" ht="14" customHeight="1">
      <c r="A64" s="173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6"/>
      <c r="M64" s="149"/>
      <c r="N64" s="149"/>
      <c r="O64" s="7"/>
    </row>
    <row r="65" ht="14" customHeight="1">
      <c r="A65" s="173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6"/>
      <c r="M65" s="149"/>
      <c r="N65" s="149"/>
      <c r="O65" s="7"/>
    </row>
    <row r="66" ht="14" customHeight="1">
      <c r="A66" s="174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6"/>
      <c r="M66" s="149"/>
      <c r="N66" s="149"/>
      <c r="O66" s="7"/>
    </row>
    <row r="67" ht="14" customHeight="1">
      <c r="A67" s="173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6"/>
      <c r="M67" s="149"/>
      <c r="N67" s="149"/>
      <c r="O67" s="7"/>
    </row>
    <row r="68" ht="14" customHeight="1">
      <c r="A68" s="173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6"/>
      <c r="M68" s="149"/>
      <c r="N68" s="149"/>
      <c r="O68" s="7"/>
    </row>
    <row r="69" ht="14" customHeight="1">
      <c r="A69" s="173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6"/>
      <c r="M69" s="149"/>
      <c r="N69" s="149"/>
      <c r="O69" s="7"/>
    </row>
    <row r="70" ht="14" customHeight="1">
      <c r="A70" s="173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6"/>
      <c r="M70" s="149"/>
      <c r="N70" s="149"/>
      <c r="O70" s="7"/>
    </row>
    <row r="71" ht="14" customHeight="1">
      <c r="A71" s="173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6"/>
      <c r="M71" s="149"/>
      <c r="N71" s="149"/>
      <c r="O71" s="7"/>
    </row>
    <row r="72" ht="14" customHeight="1">
      <c r="A72" s="173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6"/>
      <c r="M72" s="149"/>
      <c r="N72" s="149"/>
      <c r="O72" s="7"/>
    </row>
    <row r="73" ht="14" customHeight="1">
      <c r="A73" s="145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6"/>
      <c r="M73" s="149"/>
      <c r="N73" s="149"/>
      <c r="O73" s="7"/>
    </row>
    <row r="74" ht="13.55" customHeight="1">
      <c r="A74" s="163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85"/>
    </row>
  </sheetData>
  <mergeCells count="3">
    <mergeCell ref="B7:M7"/>
    <mergeCell ref="B24:N24"/>
    <mergeCell ref="B41:N4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AA12"/>
  <sheetViews>
    <sheetView workbookViewId="0" showGridLines="0" defaultGridColor="1"/>
  </sheetViews>
  <sheetFormatPr defaultColWidth="9.16667" defaultRowHeight="15" customHeight="1" outlineLevelRow="0" outlineLevelCol="0"/>
  <cols>
    <col min="1" max="1" width="37.8516" style="175" customWidth="1"/>
    <col min="2" max="27" width="9.17188" style="175" customWidth="1"/>
    <col min="28" max="16384" width="9.17188" style="175" customWidth="1"/>
  </cols>
  <sheetData>
    <row r="1" ht="13.5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75" customHeight="1">
      <c r="A2" t="s" s="5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 ht="13.6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0"/>
      <c r="T3" s="10"/>
      <c r="U3" s="10"/>
      <c r="V3" s="10"/>
      <c r="W3" s="10"/>
      <c r="X3" s="10"/>
      <c r="Y3" s="10"/>
      <c r="Z3" s="10"/>
      <c r="AA3" s="11"/>
    </row>
    <row r="4" ht="13" customHeight="1">
      <c r="A4" t="s" s="12">
        <v>1</v>
      </c>
      <c r="B4" s="13">
        <v>2011</v>
      </c>
      <c r="C4" s="14"/>
      <c r="D4" s="13">
        <v>2012</v>
      </c>
      <c r="E4" s="14"/>
      <c r="F4" s="15">
        <v>2013</v>
      </c>
      <c r="G4" s="15"/>
      <c r="H4" s="15">
        <v>2014</v>
      </c>
      <c r="I4" s="15"/>
      <c r="J4" s="15">
        <v>2015</v>
      </c>
      <c r="K4" s="15"/>
      <c r="L4" s="15">
        <v>2016</v>
      </c>
      <c r="M4" s="15"/>
      <c r="N4" s="15">
        <v>2017</v>
      </c>
      <c r="O4" s="15"/>
      <c r="P4" s="15">
        <v>2018</v>
      </c>
      <c r="Q4" s="15"/>
      <c r="R4" s="15">
        <v>2019</v>
      </c>
      <c r="S4" s="15"/>
      <c r="T4" s="15">
        <v>2020</v>
      </c>
      <c r="U4" s="15"/>
      <c r="V4" s="15">
        <v>2021</v>
      </c>
      <c r="W4" s="15"/>
      <c r="X4" s="15">
        <v>2022</v>
      </c>
      <c r="Y4" s="15"/>
      <c r="Z4" s="15">
        <v>2023</v>
      </c>
      <c r="AA4" s="15"/>
    </row>
    <row r="5" ht="51" customHeight="1">
      <c r="A5" s="16"/>
      <c r="B5" t="s" s="17">
        <v>2</v>
      </c>
      <c r="C5" t="s" s="18">
        <v>3</v>
      </c>
      <c r="D5" t="s" s="17">
        <v>2</v>
      </c>
      <c r="E5" t="s" s="18">
        <v>3</v>
      </c>
      <c r="F5" t="s" s="17">
        <v>2</v>
      </c>
      <c r="G5" t="s" s="18">
        <v>3</v>
      </c>
      <c r="H5" t="s" s="17">
        <v>2</v>
      </c>
      <c r="I5" t="s" s="18">
        <v>3</v>
      </c>
      <c r="J5" t="s" s="17">
        <v>2</v>
      </c>
      <c r="K5" t="s" s="18">
        <v>3</v>
      </c>
      <c r="L5" t="s" s="17">
        <v>2</v>
      </c>
      <c r="M5" t="s" s="18">
        <v>3</v>
      </c>
      <c r="N5" t="s" s="17">
        <v>2</v>
      </c>
      <c r="O5" t="s" s="18">
        <v>3</v>
      </c>
      <c r="P5" t="s" s="17">
        <v>2</v>
      </c>
      <c r="Q5" t="s" s="18">
        <v>3</v>
      </c>
      <c r="R5" t="s" s="17">
        <v>2</v>
      </c>
      <c r="S5" t="s" s="18">
        <v>3</v>
      </c>
      <c r="T5" t="s" s="17">
        <v>2</v>
      </c>
      <c r="U5" t="s" s="18">
        <v>3</v>
      </c>
      <c r="V5" t="s" s="17">
        <v>2</v>
      </c>
      <c r="W5" t="s" s="18">
        <v>3</v>
      </c>
      <c r="X5" t="s" s="17">
        <v>2</v>
      </c>
      <c r="Y5" t="s" s="18">
        <v>3</v>
      </c>
      <c r="Z5" t="s" s="17">
        <v>2</v>
      </c>
      <c r="AA5" t="s" s="18">
        <v>3</v>
      </c>
    </row>
    <row r="6" ht="14" customHeight="1">
      <c r="A6" t="s" s="19">
        <v>4</v>
      </c>
      <c r="B6" s="20">
        <v>12.1041393761122</v>
      </c>
      <c r="C6" s="21">
        <v>13.23249</v>
      </c>
      <c r="D6" s="20">
        <v>13.2085254085477</v>
      </c>
      <c r="E6" s="21">
        <v>14.469590002</v>
      </c>
      <c r="F6" s="20">
        <v>13.4516804597609</v>
      </c>
      <c r="G6" s="21">
        <v>14.79174</v>
      </c>
      <c r="H6" s="20">
        <v>12.1621221572296</v>
      </c>
      <c r="I6" s="21">
        <v>13.34684</v>
      </c>
      <c r="J6" s="20">
        <v>12.8358760861353</v>
      </c>
      <c r="K6" s="21">
        <v>14.03689</v>
      </c>
      <c r="L6" s="20">
        <v>13.6574040495232</v>
      </c>
      <c r="M6" s="21">
        <v>14.96847</v>
      </c>
      <c r="N6" s="20">
        <v>14.3191922303584</v>
      </c>
      <c r="O6" s="21">
        <v>15.81369</v>
      </c>
      <c r="P6" s="20">
        <v>14.8100788647303</v>
      </c>
      <c r="Q6" s="21">
        <v>16.345497896</v>
      </c>
      <c r="R6" s="20">
        <v>15.0453170665184</v>
      </c>
      <c r="S6" s="21">
        <v>16.804344701</v>
      </c>
      <c r="T6" s="20">
        <v>13.5532906143306</v>
      </c>
      <c r="U6" s="21">
        <v>15.07983</v>
      </c>
      <c r="V6" s="20">
        <v>14.0851780944412</v>
      </c>
      <c r="W6" s="21">
        <v>15.926174115</v>
      </c>
      <c r="X6" s="20">
        <v>15.0917639535464</v>
      </c>
      <c r="Y6" s="21">
        <v>17.239638</v>
      </c>
      <c r="Z6" s="20">
        <v>15.3446473956083</v>
      </c>
      <c r="AA6" s="21">
        <v>17.161158689</v>
      </c>
    </row>
    <row r="7" ht="14" customHeight="1">
      <c r="A7" t="s" s="22">
        <v>5</v>
      </c>
      <c r="B7" s="23">
        <v>3.71718839071816</v>
      </c>
      <c r="C7" s="24">
        <v>4.35999</v>
      </c>
      <c r="D7" s="23">
        <v>3.79417896194921</v>
      </c>
      <c r="E7" s="24">
        <v>4.450290002</v>
      </c>
      <c r="F7" s="23">
        <v>3.88373593217989</v>
      </c>
      <c r="G7" s="24">
        <v>4.55533</v>
      </c>
      <c r="H7" s="23">
        <v>3.94997206101153</v>
      </c>
      <c r="I7" s="24">
        <v>4.633030002</v>
      </c>
      <c r="J7" s="23">
        <v>3.96986040455036</v>
      </c>
      <c r="K7" s="24">
        <v>4.65635</v>
      </c>
      <c r="L7" s="23">
        <v>3.987873</v>
      </c>
      <c r="M7" s="24">
        <v>4.67748</v>
      </c>
      <c r="N7" s="23">
        <v>4.01414055943346</v>
      </c>
      <c r="O7" s="24">
        <v>4.70829</v>
      </c>
      <c r="P7" s="23">
        <v>4.07013290510351</v>
      </c>
      <c r="Q7" s="24">
        <v>4.758392767</v>
      </c>
      <c r="R7" s="23">
        <v>4.07763437081638</v>
      </c>
      <c r="S7" s="24">
        <v>4.765</v>
      </c>
      <c r="T7" s="23">
        <v>3.43993331373776</v>
      </c>
      <c r="U7" s="24">
        <v>4.063</v>
      </c>
      <c r="V7" s="23">
        <v>3.8435253046875</v>
      </c>
      <c r="W7" s="24">
        <v>4.523596875</v>
      </c>
      <c r="X7" s="23">
        <v>4.00996884839166</v>
      </c>
      <c r="Y7" s="24">
        <v>4.705</v>
      </c>
      <c r="Z7" s="23">
        <v>4.12362937919933</v>
      </c>
      <c r="AA7" s="24">
        <v>4.840128948</v>
      </c>
    </row>
    <row r="8" ht="14" customHeight="1">
      <c r="A8" t="s" s="22">
        <v>6</v>
      </c>
      <c r="B8" s="23">
        <v>0.284</v>
      </c>
      <c r="C8" s="24">
        <v>0.386</v>
      </c>
      <c r="D8" s="23">
        <v>0.343546555232491</v>
      </c>
      <c r="E8" s="24">
        <v>0.475856024814507</v>
      </c>
      <c r="F8" s="23">
        <v>0.314222496055846</v>
      </c>
      <c r="G8" s="24">
        <v>0.428021044821553</v>
      </c>
      <c r="H8" s="23">
        <v>0.351594305046823</v>
      </c>
      <c r="I8" s="24">
        <v>0.469024456623586</v>
      </c>
      <c r="J8" s="23">
        <v>0.427541428765076</v>
      </c>
      <c r="K8" s="24">
        <v>0.58908513995568</v>
      </c>
      <c r="L8" s="23">
        <v>0.432227026414306</v>
      </c>
      <c r="M8" s="24">
        <v>0.5959274620766249</v>
      </c>
      <c r="N8" s="23">
        <v>0.466563237170949</v>
      </c>
      <c r="O8" s="24">
        <v>0.651774956825678</v>
      </c>
      <c r="P8" s="23">
        <v>0.487242013038044</v>
      </c>
      <c r="Q8" s="24">
        <v>0.6422990050419169</v>
      </c>
      <c r="R8" s="23">
        <v>0.486942369111636</v>
      </c>
      <c r="S8" s="24">
        <v>0.656272666659898</v>
      </c>
      <c r="T8" s="23">
        <v>0.56221471263593</v>
      </c>
      <c r="U8" s="24">
        <v>0.744401043923773</v>
      </c>
      <c r="V8" s="23">
        <v>0.602421069645814</v>
      </c>
      <c r="W8" s="24">
        <v>0.787747307549659</v>
      </c>
      <c r="X8" s="23">
        <v>0.672417151516389</v>
      </c>
      <c r="Y8" s="24">
        <v>0.816100044015298</v>
      </c>
      <c r="Z8" s="23">
        <v>0.503407967714146</v>
      </c>
      <c r="AA8" s="24">
        <v>0.688215656440519</v>
      </c>
    </row>
    <row r="9" ht="14" customHeight="1">
      <c r="A9" t="s" s="22">
        <v>7</v>
      </c>
      <c r="B9" s="23">
        <v>16.1053277668304</v>
      </c>
      <c r="C9" s="24">
        <v>17.97848</v>
      </c>
      <c r="D9" s="23">
        <v>17.3462509257294</v>
      </c>
      <c r="E9" s="24">
        <v>19.3957360288145</v>
      </c>
      <c r="F9" s="23">
        <v>17.6496388879966</v>
      </c>
      <c r="G9" s="24">
        <v>19.7750910448216</v>
      </c>
      <c r="H9" s="23">
        <v>16.4636885232879</v>
      </c>
      <c r="I9" s="24">
        <v>18.4488944586236</v>
      </c>
      <c r="J9" s="23">
        <v>17.2332779194507</v>
      </c>
      <c r="K9" s="24">
        <v>19.2823251399557</v>
      </c>
      <c r="L9" s="23">
        <v>18.0775040759375</v>
      </c>
      <c r="M9" s="24">
        <v>20.2418774620766</v>
      </c>
      <c r="N9" s="23">
        <v>18.7998960269628</v>
      </c>
      <c r="O9" s="24">
        <v>21.1737549568257</v>
      </c>
      <c r="P9" s="23">
        <v>19.3674537828718</v>
      </c>
      <c r="Q9" s="24">
        <v>21.7461896680419</v>
      </c>
      <c r="R9" s="23">
        <v>19.6098938064464</v>
      </c>
      <c r="S9" s="24">
        <v>22.2256173676599</v>
      </c>
      <c r="T9" s="23">
        <v>17.5554386407042</v>
      </c>
      <c r="U9" s="24">
        <v>19.8872310439238</v>
      </c>
      <c r="V9" s="23">
        <v>18.5311244687745</v>
      </c>
      <c r="W9" s="24">
        <v>21.2375182975497</v>
      </c>
      <c r="X9" s="23">
        <v>19.7741499534545</v>
      </c>
      <c r="Y9" s="24">
        <v>22.7607380440153</v>
      </c>
      <c r="Z9" s="23">
        <v>19.9716847425217</v>
      </c>
      <c r="AA9" s="24">
        <v>22.6895032934405</v>
      </c>
    </row>
    <row r="10" ht="14" customHeight="1">
      <c r="A10" t="s" s="25">
        <v>8</v>
      </c>
      <c r="B10" s="26">
        <v>1.16076452046072</v>
      </c>
      <c r="C10" s="27">
        <v>0</v>
      </c>
      <c r="D10" s="26">
        <v>1.22491255597949</v>
      </c>
      <c r="E10" s="27">
        <v>0</v>
      </c>
      <c r="F10" s="26">
        <v>1.2857009112342</v>
      </c>
      <c r="G10" s="27">
        <v>0</v>
      </c>
      <c r="H10" s="26">
        <v>1.10627073399172</v>
      </c>
      <c r="I10" s="27">
        <v>0</v>
      </c>
      <c r="J10" s="26">
        <v>1.14024573543901</v>
      </c>
      <c r="K10" s="27">
        <v>0</v>
      </c>
      <c r="L10" s="26">
        <v>1.22003400872075</v>
      </c>
      <c r="M10" s="27">
        <v>0</v>
      </c>
      <c r="N10" s="26">
        <v>1.27194988310931</v>
      </c>
      <c r="O10" s="27">
        <v>0</v>
      </c>
      <c r="P10" s="26">
        <v>1.35205668400485</v>
      </c>
      <c r="Q10" s="27">
        <v>0</v>
      </c>
      <c r="R10" s="26">
        <v>1.43473567002979</v>
      </c>
      <c r="S10" s="27">
        <v>0</v>
      </c>
      <c r="T10" s="26">
        <v>1.27453157809333</v>
      </c>
      <c r="U10" s="27">
        <v>0</v>
      </c>
      <c r="V10" s="26">
        <v>1.43054130909335</v>
      </c>
      <c r="W10" s="27">
        <v>0</v>
      </c>
      <c r="X10" s="26">
        <v>1.56458031712861</v>
      </c>
      <c r="Y10" s="27">
        <v>0</v>
      </c>
      <c r="Z10" s="26">
        <v>1.39954697878291</v>
      </c>
      <c r="AA10" s="27">
        <v>0</v>
      </c>
    </row>
    <row r="11" ht="14" customHeight="1">
      <c r="A11" t="s" s="28">
        <v>9</v>
      </c>
      <c r="B11" s="29">
        <v>1.11411322486224</v>
      </c>
      <c r="C11" s="30">
        <v>1.77429181680904</v>
      </c>
      <c r="D11" s="29">
        <v>1.19319275876946</v>
      </c>
      <c r="E11" s="30">
        <v>1.9336854546974</v>
      </c>
      <c r="F11" s="29">
        <v>1.19278196628126</v>
      </c>
      <c r="G11" s="30">
        <v>1.99627518107666</v>
      </c>
      <c r="H11" s="29">
        <v>1.08640469348957</v>
      </c>
      <c r="I11" s="30">
        <v>1.85535687631786</v>
      </c>
      <c r="J11" s="29">
        <v>1.11038875669462</v>
      </c>
      <c r="K11" s="30">
        <v>1.89239260087862</v>
      </c>
      <c r="L11" s="29">
        <v>1.19289703804194</v>
      </c>
      <c r="M11" s="30">
        <v>1.96073352236428</v>
      </c>
      <c r="N11" s="29">
        <v>1.2113303849064</v>
      </c>
      <c r="O11" s="30">
        <v>1.99909708256317</v>
      </c>
      <c r="P11" s="29">
        <v>1.22388777975211</v>
      </c>
      <c r="Q11" s="30">
        <v>2.01351624544198</v>
      </c>
      <c r="R11" s="29">
        <v>1.22235635218256</v>
      </c>
      <c r="S11" s="30">
        <v>2.03825858240562</v>
      </c>
      <c r="T11" s="29">
        <v>1.17323943736333</v>
      </c>
      <c r="U11" s="30">
        <v>2.05484532112504</v>
      </c>
      <c r="V11" s="29">
        <v>1.12718610767961</v>
      </c>
      <c r="W11" s="30">
        <v>2.0409285309756</v>
      </c>
      <c r="X11" s="29">
        <v>1.10247977195526</v>
      </c>
      <c r="Y11" s="30">
        <v>1.93321203619157</v>
      </c>
      <c r="Z11" s="29">
        <v>1.0375991587335</v>
      </c>
      <c r="AA11" s="30">
        <v>1.81417852564224</v>
      </c>
    </row>
    <row r="12" ht="14" customHeight="1">
      <c r="A12" t="s" s="31">
        <v>10</v>
      </c>
      <c r="B12" s="32">
        <v>1.03381538045204</v>
      </c>
      <c r="C12" s="33">
        <v>1.77429181680904</v>
      </c>
      <c r="D12" s="32">
        <v>1.10893496737821</v>
      </c>
      <c r="E12" s="33">
        <v>1.9336854546974</v>
      </c>
      <c r="F12" s="32">
        <v>1.10589288766139</v>
      </c>
      <c r="G12" s="33">
        <v>1.99627518107666</v>
      </c>
      <c r="H12" s="32">
        <v>1.01340417990607</v>
      </c>
      <c r="I12" s="33">
        <v>1.85535687631786</v>
      </c>
      <c r="J12" s="32">
        <v>1.03691950433193</v>
      </c>
      <c r="K12" s="33">
        <v>1.89239260087862</v>
      </c>
      <c r="L12" s="32">
        <v>1.11238952167243</v>
      </c>
      <c r="M12" s="33">
        <v>1.96073352236428</v>
      </c>
      <c r="N12" s="32">
        <v>1.12937506242597</v>
      </c>
      <c r="O12" s="33">
        <v>1.99909708256317</v>
      </c>
      <c r="P12" s="32">
        <v>1.13844724267185</v>
      </c>
      <c r="Q12" s="33">
        <v>2.01351624544198</v>
      </c>
      <c r="R12" s="32">
        <v>1.13292403412547</v>
      </c>
      <c r="S12" s="33">
        <v>2.03825858240562</v>
      </c>
      <c r="T12" s="32">
        <v>1.08806180425555</v>
      </c>
      <c r="U12" s="33">
        <v>2.05484532112504</v>
      </c>
      <c r="V12" s="32">
        <v>1.04017108099902</v>
      </c>
      <c r="W12" s="33">
        <v>2.0409285309756</v>
      </c>
      <c r="X12" s="32">
        <v>1.01524880853616</v>
      </c>
      <c r="Y12" s="33">
        <v>1.93321203619157</v>
      </c>
      <c r="Z12" s="32">
        <v>0.964887778270872</v>
      </c>
      <c r="AA12" s="33">
        <v>1.81417852564224</v>
      </c>
    </row>
  </sheetData>
  <mergeCells count="14">
    <mergeCell ref="Z4:AA4"/>
    <mergeCell ref="V4:W4"/>
    <mergeCell ref="X4:Y4"/>
    <mergeCell ref="J4:K4"/>
    <mergeCell ref="A4:A5"/>
    <mergeCell ref="B4:C4"/>
    <mergeCell ref="D4:E4"/>
    <mergeCell ref="F4:G4"/>
    <mergeCell ref="H4:I4"/>
    <mergeCell ref="R4:S4"/>
    <mergeCell ref="T4:U4"/>
    <mergeCell ref="L4:M4"/>
    <mergeCell ref="N4:O4"/>
    <mergeCell ref="P4:Q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